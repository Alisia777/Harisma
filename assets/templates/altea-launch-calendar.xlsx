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алендарь новинок" sheetId="1" r:id="rId5"/>
    <sheet state="visible" name="Календарь новинок Гант" sheetId="2" r:id="rId6"/>
  </sheets>
  <definedNames>
    <definedName hidden="1" localSheetId="0" name="_xlnm._FilterDatabase">'Календарь новинок'!$A$1:$BJ$84</definedName>
  </definedNames>
  <calcPr/>
</workbook>
</file>

<file path=xl/sharedStrings.xml><?xml version="1.0" encoding="utf-8"?>
<sst xmlns="http://schemas.openxmlformats.org/spreadsheetml/2006/main" count="600" uniqueCount="199">
  <si>
    <t>Группа отчетности</t>
  </si>
  <si>
    <t>ТЕГ: база/ тренд</t>
  </si>
  <si>
    <t>SKU</t>
  </si>
  <si>
    <t>Месяц запуска</t>
  </si>
  <si>
    <t>Статус</t>
  </si>
  <si>
    <t>Производство (тип)</t>
  </si>
  <si>
    <t>Производство (название)</t>
  </si>
  <si>
    <t>Заказ (1 партия, штук)</t>
  </si>
  <si>
    <t>Название</t>
  </si>
  <si>
    <t>Суб категория</t>
  </si>
  <si>
    <t>Характеристика</t>
  </si>
  <si>
    <t>Стоимость запуска</t>
  </si>
  <si>
    <t>Целевая себестоимость</t>
  </si>
  <si>
    <t xml:space="preserve">СРЦ без НДС </t>
  </si>
  <si>
    <t>СРЦ с НДС (как в ЛК, формула)</t>
  </si>
  <si>
    <t>СРЦ с СПП 28%</t>
  </si>
  <si>
    <t>отклонение от МРЦ</t>
  </si>
  <si>
    <t>РРЦ с НДС</t>
  </si>
  <si>
    <t>МРЦ с НДС</t>
  </si>
  <si>
    <t>Маркетплейсы</t>
  </si>
  <si>
    <t>Валовая маржа, %</t>
  </si>
  <si>
    <t>Валовая маржа, руб</t>
  </si>
  <si>
    <t>Выручка, руб.
 (с НДС) без СПП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</si>
  <si>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</si>
  <si>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</si>
  <si>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</si>
  <si>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</si>
  <si>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</si>
  <si>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</si>
  <si>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</si>
  <si>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</si>
  <si>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Сумма по году 
штуки</t>
  </si>
  <si>
    <t>Уход за лицом</t>
  </si>
  <si>
    <t>тренд</t>
  </si>
  <si>
    <t>Май 2026</t>
  </si>
  <si>
    <t>отгрузка начало июля</t>
  </si>
  <si>
    <t>Контрактное</t>
  </si>
  <si>
    <t>Восток-Плюс</t>
  </si>
  <si>
    <t>Спрей-сыворотка с PDRN</t>
  </si>
  <si>
    <t>Anti-age</t>
  </si>
  <si>
    <t>Увлажнение, регенерация, сияние кожи
Anti-Age</t>
  </si>
  <si>
    <t>Уход за волосами</t>
  </si>
  <si>
    <t>база</t>
  </si>
  <si>
    <t>отгрузили</t>
  </si>
  <si>
    <t>Марвел</t>
  </si>
  <si>
    <t>Шампунь для кудрявых волос</t>
  </si>
  <si>
    <t>Curly</t>
  </si>
  <si>
    <t>Уход за кудрявыми волосами
Формирование упругого завитка</t>
  </si>
  <si>
    <t>Термозащитное масло для волос</t>
  </si>
  <si>
    <t>Термозащита
Питание</t>
  </si>
  <si>
    <t>Бальзам для кудрявых волос</t>
  </si>
  <si>
    <t>Сыворотка для лица с Витамином С</t>
  </si>
  <si>
    <t>Сияние
Увлажнение кожи
Ровный тон</t>
  </si>
  <si>
    <t>Июль 2026</t>
  </si>
  <si>
    <t>Производство</t>
  </si>
  <si>
    <t xml:space="preserve">Контрактное </t>
  </si>
  <si>
    <t>10 000</t>
  </si>
  <si>
    <t>Пэды с PDRN</t>
  </si>
  <si>
    <t>Октябрь 2026</t>
  </si>
  <si>
    <t>Капли/сыворотка/тинт для ровного тона/сияния кожи (glow drops) spf 25</t>
  </si>
  <si>
    <t>MakeUp+ Care</t>
  </si>
  <si>
    <t>Увлажнение, ровный тон, сияние кожи</t>
  </si>
  <si>
    <t>Апрель 2027</t>
  </si>
  <si>
    <t>ОС от Ксюши</t>
  </si>
  <si>
    <t>Крем-стик с PDRN и пептидами spf 25</t>
  </si>
  <si>
    <t>Защита от УФ
регенерация
увлажнение
Anti-Age</t>
  </si>
  <si>
    <t>Июнь 2026</t>
  </si>
  <si>
    <t>Гель для волос кудрявый метод</t>
  </si>
  <si>
    <t>Уход за телом</t>
  </si>
  <si>
    <t>Август 2026</t>
  </si>
  <si>
    <t>В процессе запуска в пр-во</t>
  </si>
  <si>
    <t>Артель-Хим?</t>
  </si>
  <si>
    <t>Крем для рук парфюмированный</t>
  </si>
  <si>
    <t>Руки</t>
  </si>
  <si>
    <t>Питание
кожи рук</t>
  </si>
  <si>
    <t>80?</t>
  </si>
  <si>
    <t>Крем питательный для тела</t>
  </si>
  <si>
    <t>Тело</t>
  </si>
  <si>
    <t>Сентябрь 2026</t>
  </si>
  <si>
    <t>Крем-баттер для тела парфюмированный</t>
  </si>
  <si>
    <t>Выбираем отдушки,
исходя из образцов парф гелей для душа</t>
  </si>
  <si>
    <t>Увлажняющий лосьон для тела (подходит для чувствительной кожи)</t>
  </si>
  <si>
    <t>Увлажнение 
Питание кожи тела</t>
  </si>
  <si>
    <t>тз отправлено, ждем образцы</t>
  </si>
  <si>
    <t>Крем для кутикулы</t>
  </si>
  <si>
    <t>Ждем согласование от Сергея ЦЗ</t>
  </si>
  <si>
    <t>Сухой шампунь</t>
  </si>
  <si>
    <t>Стайлинг</t>
  </si>
  <si>
    <t>7 000</t>
  </si>
  <si>
    <t>Шампунь-восстановление с BADD</t>
  </si>
  <si>
    <t>Восстановление</t>
  </si>
  <si>
    <t>Бальзам-восстановление c BADD</t>
  </si>
  <si>
    <t>Парфюмированное масло для волос</t>
  </si>
  <si>
    <t>Питание
Термозащита до 230 С
Ароматерапия для волос</t>
  </si>
  <si>
    <t>160?</t>
  </si>
  <si>
    <t>ждем образцы</t>
  </si>
  <si>
    <t>Бальзам для умывания для чувствительной кожи</t>
  </si>
  <si>
    <t>Чувствительная кожа</t>
  </si>
  <si>
    <t>Собственное</t>
  </si>
  <si>
    <t>Сыворотка успокаивающая</t>
  </si>
  <si>
    <t>Аксессуары</t>
  </si>
  <si>
    <t>в набор</t>
  </si>
  <si>
    <t>Ноябрь 2026</t>
  </si>
  <si>
    <t>Китай - заказ</t>
  </si>
  <si>
    <t>Маска для сна</t>
  </si>
  <si>
    <t>Зимняя лимитка</t>
  </si>
  <si>
    <t>Варежка-мочалка</t>
  </si>
  <si>
    <t>Щетка для массажа</t>
  </si>
  <si>
    <t>Чай для ванной</t>
  </si>
  <si>
    <t>Масло для ванной</t>
  </si>
  <si>
    <t>Свеча-воск для рук</t>
  </si>
  <si>
    <t>?</t>
  </si>
  <si>
    <t>Спрей для тела увлажняющий питательный ароматизированный</t>
  </si>
  <si>
    <t>Скраб для тела</t>
  </si>
  <si>
    <t>Гель для душа парфюмированный</t>
  </si>
  <si>
    <t>Крем для рук ароматизированный</t>
  </si>
  <si>
    <t>В процессе запуска в производство</t>
  </si>
  <si>
    <t>Осенняя лимитка Pumpkin latte</t>
  </si>
  <si>
    <t>Образцы отдушек в офисе
ОС от Ксюши</t>
  </si>
  <si>
    <t>Мыло для рук парфюмированное</t>
  </si>
  <si>
    <t>Согласован, отдали в производство</t>
  </si>
  <si>
    <t>Гель-Пенка для умывания для жирной и проблемной кожи</t>
  </si>
  <si>
    <t>Жирная и проблемная кожа</t>
  </si>
  <si>
    <t>Ровный тон
Борьба с воспалениями</t>
  </si>
  <si>
    <t>Образцы в офисе
ОС от Ксюши</t>
  </si>
  <si>
    <t>Гель для интимной гигиены парфюмированный</t>
  </si>
  <si>
    <t>Жидкое мыло парфюмированное</t>
  </si>
  <si>
    <t>Бальзам-блеск для губ ухаживающий</t>
  </si>
  <si>
    <t>MakeUp+Care</t>
  </si>
  <si>
    <t>Румяна-стик 3-в-1 ухаживающий с церамидами и гиалуроновой кислотой</t>
  </si>
  <si>
    <t>Ночная маска-уход для губ</t>
  </si>
  <si>
    <t>Консилер от отеков и синяков со светоотражающими частицами</t>
  </si>
  <si>
    <t>Антиотечная скульптурирующая сыворотка-бронзер</t>
  </si>
  <si>
    <t>Сыворотка интенсивно увлажняющая</t>
  </si>
  <si>
    <t>Увлажнение</t>
  </si>
  <si>
    <t>Увлажнение интенсивное
Барьерная защита</t>
  </si>
  <si>
    <t>Маска для лица интенсивно увлажняющая</t>
  </si>
  <si>
    <t>Сыворотка от перхоти с климбазолом</t>
  </si>
  <si>
    <t>Перхоть</t>
  </si>
  <si>
    <t>ждем образец</t>
  </si>
  <si>
    <t>Сыворотка-восстановление микробиома кожи головы</t>
  </si>
  <si>
    <t xml:space="preserve">Шампунь-восстановление микробиома от перхоти </t>
  </si>
  <si>
    <t>Крем для восстановления микробиома</t>
  </si>
  <si>
    <t>Микробиом кожи</t>
  </si>
  <si>
    <t>Сыворотка для восстановления микробиома</t>
  </si>
  <si>
    <t>Ночной крем с мелатонином и экстрактами ночных растений</t>
  </si>
  <si>
    <t>Ночной уход</t>
  </si>
  <si>
    <t>Ночная сыворотка с мелатонином и экстрактами ночных растений</t>
  </si>
  <si>
    <t>БАД</t>
  </si>
  <si>
    <t>Фисетин</t>
  </si>
  <si>
    <t>Professional</t>
  </si>
  <si>
    <t xml:space="preserve">Антиоксидантный комплекс </t>
  </si>
  <si>
    <t>Комплекс про-, пре- и постбиотиков</t>
  </si>
  <si>
    <t>Контракное</t>
  </si>
  <si>
    <t>Комплекс для упругой кожи (коллаген, витамин С, церамиды, гиалуроновая кислота)</t>
  </si>
  <si>
    <t>Разосланы ТЗ по корейским про-вам</t>
  </si>
  <si>
    <t>Контрактное (Китай)</t>
  </si>
  <si>
    <t>Патчи под глаза гелевые с NAD+, рыбным коллагеном, пептидами, охлаждающими ингредиентами и ниацинамидом (selfie-friendly)</t>
  </si>
  <si>
    <t>Отгрузили</t>
  </si>
  <si>
    <t>Крем для лица с PDRN и спикулами</t>
  </si>
  <si>
    <t xml:space="preserve">Anti-age
</t>
  </si>
  <si>
    <t>Регенерация
Увлажнение
Ровный тон</t>
  </si>
  <si>
    <t>Масло для загара с сияющими частицами</t>
  </si>
  <si>
    <t>Защита от УФ
Усиление загара
Питание, увлажнение</t>
  </si>
  <si>
    <t>Маска-плёнка с ПДРН и пептидами</t>
  </si>
  <si>
    <t>Лифтинг эффект
Увлажнение
Регенерация</t>
  </si>
  <si>
    <t>производство</t>
  </si>
  <si>
    <t>Крем для век с PDRN и пептидами и бакучиолом</t>
  </si>
  <si>
    <t xml:space="preserve"> ждем образец</t>
  </si>
  <si>
    <t>Крем для чувствительной кожи</t>
  </si>
  <si>
    <t>Кремовый тонер для лица (Молочный) для чувствительной кожи</t>
  </si>
  <si>
    <t>Glass skin
Барьерная защита</t>
  </si>
  <si>
    <t>Всего</t>
  </si>
  <si>
    <t>Категория</t>
  </si>
  <si>
    <t>ПодКатегория</t>
  </si>
  <si>
    <t>Январь</t>
  </si>
  <si>
    <t>Февраль</t>
  </si>
  <si>
    <t>Март</t>
  </si>
  <si>
    <t xml:space="preserve">Апрель </t>
  </si>
  <si>
    <t>Итого</t>
  </si>
  <si>
    <t>Anti-Age</t>
  </si>
  <si>
    <t>Маска-плёнка с ПДРН и коллагеном</t>
  </si>
  <si>
    <t>Восстановление микробиома</t>
  </si>
  <si>
    <t>Жирная кожа</t>
  </si>
  <si>
    <t>Гель для умывания для жирной и проблемной кожи</t>
  </si>
  <si>
    <t>Базовый уход</t>
  </si>
  <si>
    <t>Летний уход</t>
  </si>
  <si>
    <t>Специализированный уход за телом</t>
  </si>
  <si>
    <t>Уход за руками</t>
  </si>
  <si>
    <t>Зимняя лимитированная линейка</t>
  </si>
  <si>
    <t>Осенняя лимитированная линейка Pumpkin latte</t>
  </si>
  <si>
    <t>Некосметические товары</t>
  </si>
  <si>
    <t>Шампунь-восстановление и гладкость с BADD</t>
  </si>
  <si>
    <t>Бальзам-восстановление и гладкость c BADD</t>
  </si>
  <si>
    <t>От перхоти/ микробиом</t>
  </si>
  <si>
    <t>Уход</t>
  </si>
  <si>
    <t>Антиоксидантный комплекс</t>
  </si>
  <si>
    <t>ТЗ у Наташи</t>
  </si>
  <si>
    <t>Антиэйдж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</si>
</sst>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р.-419]#,##0.00"/>
    <numFmt numFmtId="165" formatCode="dd.mm.yyyy"/>
  </numFmts>
  <fonts count="13">
    <font>
      <sz val="10.0"/>
      <color rgb="FF000000"/>
      <name val="Arial"/>
      <scheme val="minor"/>
    </font>
    <font>
      <b/>
      <color theme="1"/>
      <name val="Times New Roman"/>
    </font>
    <font>
      <b/>
      <sz val="11.0"/>
      <color theme="1"/>
      <name val="Times New Roman"/>
    </font>
    <font>
      <color theme="1"/>
      <name val="Times New Roman"/>
    </font>
    <font>
      <sz val="12.0"/>
      <color theme="1"/>
      <name val="Times New Roman"/>
    </font>
    <font>
      <color rgb="FF9900FF"/>
      <name val="Times New Roman"/>
    </font>
    <font>
      <sz val="11.0"/>
      <color theme="1"/>
      <name val="Times New Roman"/>
    </font>
    <font>
      <color theme="1"/>
      <name val="Arial"/>
    </font>
    <font>
      <b/>
      <color theme="1"/>
      <name val="Arial"/>
    </font>
    <font>
      <color rgb="FFFF0000"/>
      <name val="Arial"/>
    </font>
    <font>
      <color rgb="FF1155CC"/>
      <name val="Arial"/>
    </font>
    <font>
      <color rgb="FFFF9900"/>
      <name val="Arial"/>
    </font>
    <font>
      <b/>
      <color rgb="FF0000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horizontal="center" readingOrder="0" shrinkToFit="0" vertical="bottom" wrapText="1"/>
    </xf>
    <xf borderId="0" fillId="2" fontId="1" numFmtId="1" xfId="0" applyAlignment="1" applyFont="1" applyNumberFormat="1">
      <alignment horizontal="center" shrinkToFit="0" vertical="bottom" wrapText="1"/>
    </xf>
    <xf borderId="0" fillId="2" fontId="2" numFmtId="0" xfId="0" applyAlignment="1" applyFont="1">
      <alignment horizontal="center" shrinkToFit="0" vertical="bottom" wrapText="1"/>
    </xf>
    <xf borderId="1" fillId="2" fontId="2" numFmtId="0" xfId="0" applyAlignment="1" applyBorder="1" applyFont="1">
      <alignment horizontal="center" shrinkToFit="0" vertical="bottom" wrapText="1"/>
    </xf>
    <xf borderId="2" fillId="2" fontId="1" numFmtId="0" xfId="0" applyAlignment="1" applyBorder="1" applyFont="1">
      <alignment horizontal="center" shrinkToFit="0" vertical="bottom" wrapText="1"/>
    </xf>
    <xf borderId="0" fillId="2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shrinkToFit="0" vertical="bottom" wrapText="1"/>
    </xf>
    <xf borderId="3" fillId="3" fontId="4" numFmtId="0" xfId="0" applyAlignment="1" applyBorder="1" applyFont="1">
      <alignment vertical="bottom"/>
    </xf>
    <xf borderId="3" fillId="3" fontId="4" numFmtId="0" xfId="0" applyAlignment="1" applyBorder="1" applyFont="1">
      <alignment horizontal="right" vertical="bottom"/>
    </xf>
    <xf borderId="3" fillId="3" fontId="4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3" numFmtId="164" xfId="0" applyAlignment="1" applyFont="1" applyNumberFormat="1">
      <alignment readingOrder="0" shrinkToFit="0" vertical="bottom" wrapText="1"/>
    </xf>
    <xf borderId="0" fillId="0" fontId="3" numFmtId="0" xfId="0" applyAlignment="1" applyFont="1">
      <alignment horizontal="right" readingOrder="0" vertical="bottom"/>
    </xf>
    <xf borderId="3" fillId="0" fontId="3" numFmtId="0" xfId="0" applyAlignment="1" applyBorder="1" applyFont="1">
      <alignment readingOrder="0" vertical="bottom"/>
    </xf>
    <xf borderId="3" fillId="0" fontId="5" numFmtId="0" xfId="0" applyAlignment="1" applyBorder="1" applyFont="1">
      <alignment horizontal="center" vertical="bottom"/>
    </xf>
    <xf borderId="3" fillId="0" fontId="5" numFmtId="1" xfId="0" applyAlignment="1" applyBorder="1" applyFont="1" applyNumberFormat="1">
      <alignment horizontal="center" vertical="bottom"/>
    </xf>
    <xf borderId="3" fillId="4" fontId="3" numFmtId="0" xfId="0" applyAlignment="1" applyBorder="1" applyFill="1" applyFont="1">
      <alignment vertical="bottom"/>
    </xf>
    <xf borderId="0" fillId="0" fontId="3" numFmtId="9" xfId="0" applyAlignment="1" applyFont="1" applyNumberFormat="1">
      <alignment readingOrder="0" vertical="bottom"/>
    </xf>
    <xf borderId="3" fillId="0" fontId="3" numFmtId="3" xfId="0" applyAlignment="1" applyBorder="1" applyFont="1" applyNumberFormat="1">
      <alignment horizontal="right" vertical="bottom"/>
    </xf>
    <xf borderId="4" fillId="0" fontId="2" numFmtId="3" xfId="0" applyAlignment="1" applyBorder="1" applyFont="1" applyNumberFormat="1">
      <alignment horizontal="right" vertical="bottom"/>
    </xf>
    <xf borderId="3" fillId="0" fontId="3" numFmtId="3" xfId="0" applyAlignment="1" applyBorder="1" applyFont="1" applyNumberFormat="1">
      <alignment vertical="bottom"/>
    </xf>
    <xf borderId="3" fillId="0" fontId="6" numFmtId="3" xfId="0" applyAlignment="1" applyBorder="1" applyFont="1" applyNumberFormat="1">
      <alignment horizontal="center" vertical="bottom"/>
    </xf>
    <xf borderId="3" fillId="0" fontId="3" numFmtId="0" xfId="0" applyAlignment="1" applyBorder="1" applyFont="1">
      <alignment vertical="bottom"/>
    </xf>
    <xf borderId="0" fillId="0" fontId="3" numFmtId="3" xfId="0" applyAlignment="1" applyFont="1" applyNumberFormat="1">
      <alignment vertical="bottom"/>
    </xf>
    <xf borderId="0" fillId="3" fontId="4" numFmtId="0" xfId="0" applyAlignment="1" applyFont="1">
      <alignment shrinkToFit="0" vertical="bottom" wrapText="1"/>
    </xf>
    <xf borderId="0" fillId="3" fontId="4" numFmtId="0" xfId="0" applyAlignment="1" applyFont="1">
      <alignment vertical="bottom"/>
    </xf>
    <xf borderId="0" fillId="3" fontId="4" numFmtId="0" xfId="0" applyAlignment="1" applyFont="1">
      <alignment horizontal="right" vertical="bottom"/>
    </xf>
    <xf borderId="0" fillId="3" fontId="4" numFmtId="0" xfId="0" applyAlignment="1" applyFont="1">
      <alignment readingOrder="0" vertical="bottom"/>
    </xf>
    <xf borderId="0" fillId="3" fontId="4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vertical="bottom"/>
    </xf>
    <xf borderId="0" fillId="4" fontId="3" numFmtId="0" xfId="0" applyAlignment="1" applyFont="1">
      <alignment vertical="bottom"/>
    </xf>
    <xf borderId="0" fillId="0" fontId="6" numFmtId="3" xfId="0" applyAlignment="1" applyFont="1" applyNumberFormat="1">
      <alignment horizontal="center" vertical="bottom"/>
    </xf>
    <xf borderId="0" fillId="0" fontId="3" numFmtId="3" xfId="0" applyAlignment="1" applyFont="1" applyNumberFormat="1">
      <alignment horizontal="center" vertical="bottom"/>
    </xf>
    <xf borderId="0" fillId="3" fontId="4" numFmtId="0" xfId="0" applyAlignment="1" applyFont="1">
      <alignment horizontal="right" readingOrder="0" vertical="bottom"/>
    </xf>
    <xf borderId="0" fillId="0" fontId="3" numFmtId="3" xfId="0" applyAlignment="1" applyFont="1" applyNumberFormat="1">
      <alignment horizontal="right" vertical="bottom"/>
    </xf>
    <xf borderId="0" fillId="3" fontId="4" numFmtId="0" xfId="0" applyAlignment="1" applyFont="1">
      <alignment horizontal="right" readingOrder="0" shrinkToFit="0" vertical="bottom" wrapText="1"/>
    </xf>
    <xf borderId="0" fillId="0" fontId="7" numFmtId="0" xfId="0" applyAlignment="1" applyFont="1">
      <alignment vertical="bottom"/>
    </xf>
    <xf borderId="0" fillId="0" fontId="5" numFmtId="1" xfId="0" applyAlignment="1" applyFont="1" applyNumberFormat="1">
      <alignment horizontal="center" vertical="bottom"/>
    </xf>
    <xf borderId="0" fillId="4" fontId="7" numFmtId="0" xfId="0" applyAlignment="1" applyFont="1">
      <alignment vertical="bottom"/>
    </xf>
    <xf borderId="1" fillId="0" fontId="2" numFmtId="3" xfId="0" applyAlignment="1" applyBorder="1" applyFont="1" applyNumberFormat="1">
      <alignment horizontal="right" vertical="bottom"/>
    </xf>
    <xf borderId="0" fillId="0" fontId="7" numFmtId="3" xfId="0" applyAlignment="1" applyFont="1" applyNumberFormat="1">
      <alignment vertical="bottom"/>
    </xf>
    <xf borderId="0" fillId="3" fontId="7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1" xfId="0" applyAlignment="1" applyFont="1" applyNumberFormat="1">
      <alignment horizontal="center" vertical="bottom"/>
    </xf>
    <xf borderId="0" fillId="0" fontId="7" numFmtId="0" xfId="0" applyAlignment="1" applyFont="1">
      <alignment readingOrder="0" vertical="bottom"/>
    </xf>
    <xf borderId="0" fillId="5" fontId="4" numFmtId="0" xfId="0" applyAlignment="1" applyFill="1" applyFont="1">
      <alignment shrinkToFit="0" vertical="bottom" wrapText="1"/>
    </xf>
    <xf borderId="0" fillId="5" fontId="4" numFmtId="0" xfId="0" applyAlignment="1" applyFont="1">
      <alignment vertical="bottom"/>
    </xf>
    <xf borderId="0" fillId="5" fontId="4" numFmtId="0" xfId="0" applyAlignment="1" applyFont="1">
      <alignment horizontal="right" vertical="bottom"/>
    </xf>
    <xf borderId="0" fillId="5" fontId="4" numFmtId="0" xfId="0" applyAlignment="1" applyFont="1">
      <alignment readingOrder="0" shrinkToFit="0" vertical="bottom" wrapText="1"/>
    </xf>
    <xf borderId="0" fillId="3" fontId="7" numFmtId="0" xfId="0" applyAlignment="1" applyFont="1">
      <alignment horizontal="right" vertical="bottom"/>
    </xf>
    <xf borderId="0" fillId="0" fontId="1" numFmtId="3" xfId="0" applyAlignment="1" applyFont="1" applyNumberFormat="1">
      <alignment horizontal="right" vertical="bottom"/>
    </xf>
    <xf borderId="2" fillId="0" fontId="3" numFmtId="3" xfId="0" applyAlignment="1" applyBorder="1" applyFont="1" applyNumberFormat="1">
      <alignment horizontal="right" vertical="bottom"/>
    </xf>
    <xf borderId="0" fillId="3" fontId="7" numFmtId="0" xfId="0" applyAlignment="1" applyFont="1">
      <alignment readingOrder="0" vertical="bottom"/>
    </xf>
    <xf borderId="0" fillId="2" fontId="7" numFmtId="0" xfId="0" applyAlignment="1" applyFont="1">
      <alignment vertical="bottom"/>
    </xf>
    <xf borderId="0" fillId="2" fontId="5" numFmtId="1" xfId="0" applyAlignment="1" applyFont="1" applyNumberFormat="1">
      <alignment horizontal="center" vertical="bottom"/>
    </xf>
    <xf borderId="0" fillId="2" fontId="1" numFmtId="3" xfId="0" applyAlignment="1" applyFont="1" applyNumberFormat="1">
      <alignment horizontal="right" vertical="bottom"/>
    </xf>
    <xf borderId="0" fillId="2" fontId="7" numFmtId="3" xfId="0" applyAlignment="1" applyFont="1" applyNumberFormat="1">
      <alignment vertical="bottom"/>
    </xf>
    <xf borderId="0" fillId="2" fontId="4" numFmtId="0" xfId="0" applyAlignment="1" applyFont="1">
      <alignment shrinkToFit="0" vertical="bottom" wrapText="1"/>
    </xf>
    <xf borderId="0" fillId="6" fontId="4" numFmtId="0" xfId="0" applyAlignment="1" applyFill="1" applyFont="1">
      <alignment shrinkToFit="0" vertical="bottom" wrapText="1"/>
    </xf>
    <xf borderId="0" fillId="2" fontId="7" numFmtId="1" xfId="0" applyAlignment="1" applyFont="1" applyNumberFormat="1">
      <alignment vertical="bottom"/>
    </xf>
    <xf borderId="0" fillId="0" fontId="7" numFmtId="1" xfId="0" applyAlignment="1" applyFont="1" applyNumberFormat="1">
      <alignment vertical="bottom"/>
    </xf>
    <xf borderId="2" fillId="0" fontId="7" numFmtId="3" xfId="0" applyAlignment="1" applyBorder="1" applyFont="1" applyNumberFormat="1">
      <alignment vertical="bottom"/>
    </xf>
    <xf borderId="2" fillId="0" fontId="3" numFmtId="3" xfId="0" applyAlignment="1" applyBorder="1" applyFont="1" applyNumberFormat="1">
      <alignment horizontal="center" vertical="bottom"/>
    </xf>
    <xf borderId="0" fillId="6" fontId="4" numFmtId="0" xfId="0" applyAlignment="1" applyFont="1">
      <alignment vertical="bottom"/>
    </xf>
    <xf borderId="0" fillId="7" fontId="4" numFmtId="0" xfId="0" applyAlignment="1" applyFill="1" applyFont="1">
      <alignment shrinkToFit="0" vertical="bottom" wrapText="1"/>
    </xf>
    <xf borderId="0" fillId="4" fontId="3" numFmtId="3" xfId="0" applyAlignment="1" applyFont="1" applyNumberFormat="1">
      <alignment horizontal="right" vertical="bottom"/>
    </xf>
    <xf borderId="1" fillId="2" fontId="1" numFmtId="3" xfId="0" applyAlignment="1" applyBorder="1" applyFont="1" applyNumberFormat="1">
      <alignment horizontal="right" vertical="bottom"/>
    </xf>
    <xf borderId="1" fillId="0" fontId="1" numFmtId="3" xfId="0" applyAlignment="1" applyBorder="1" applyFont="1" applyNumberFormat="1">
      <alignment horizontal="right" vertical="bottom"/>
    </xf>
    <xf borderId="0" fillId="0" fontId="7" numFmtId="9" xfId="0" applyAlignment="1" applyFont="1" applyNumberFormat="1">
      <alignment vertical="bottom"/>
    </xf>
    <xf borderId="0" fillId="2" fontId="3" numFmtId="3" xfId="0" applyAlignment="1" applyFont="1" applyNumberFormat="1">
      <alignment horizontal="right" vertical="bottom"/>
    </xf>
    <xf borderId="0" fillId="3" fontId="7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3" numFmtId="164" xfId="0" applyAlignment="1" applyFont="1" applyNumberFormat="1">
      <alignment readingOrder="0" vertical="bottom"/>
    </xf>
    <xf borderId="0" fillId="2" fontId="3" numFmtId="3" xfId="0" applyAlignment="1" applyFont="1" applyNumberFormat="1">
      <alignment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vertical="top"/>
    </xf>
    <xf borderId="0" fillId="0" fontId="5" numFmtId="0" xfId="0" applyAlignment="1" applyFont="1">
      <alignment horizontal="center" vertical="top"/>
    </xf>
    <xf borderId="0" fillId="0" fontId="5" numFmtId="1" xfId="0" applyAlignment="1" applyFont="1" applyNumberFormat="1">
      <alignment horizontal="center" vertical="top"/>
    </xf>
    <xf borderId="0" fillId="0" fontId="7" numFmtId="3" xfId="0" applyAlignment="1" applyFont="1" applyNumberFormat="1">
      <alignment vertical="top"/>
    </xf>
    <xf borderId="0" fillId="0" fontId="7" numFmtId="1" xfId="0" applyAlignment="1" applyFont="1" applyNumberFormat="1">
      <alignment vertical="top"/>
    </xf>
    <xf borderId="0" fillId="3" fontId="4" numFmtId="0" xfId="0" applyAlignment="1" applyFont="1">
      <alignment shrinkToFit="0" vertical="top" wrapText="1"/>
    </xf>
    <xf borderId="0" fillId="3" fontId="7" numFmtId="165" xfId="0" applyAlignment="1" applyFont="1" applyNumberFormat="1">
      <alignment vertical="top"/>
    </xf>
    <xf borderId="0" fillId="3" fontId="4" numFmtId="0" xfId="0" applyAlignment="1" applyFont="1">
      <alignment horizontal="right" vertical="top"/>
    </xf>
    <xf borderId="0" fillId="3" fontId="7" numFmtId="0" xfId="0" applyAlignment="1" applyFont="1">
      <alignment vertical="top"/>
    </xf>
    <xf borderId="0" fillId="0" fontId="3" numFmtId="1" xfId="0" applyAlignment="1" applyFont="1" applyNumberFormat="1">
      <alignment vertical="bottom"/>
    </xf>
    <xf borderId="0" fillId="0" fontId="3" numFmtId="0" xfId="0" applyFont="1"/>
    <xf borderId="5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shrinkToFit="0" vertical="bottom" wrapText="1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8" fontId="7" numFmtId="0" xfId="0" applyAlignment="1" applyFill="1" applyFont="1">
      <alignment horizontal="right" vertical="bottom"/>
    </xf>
    <xf borderId="0" fillId="0" fontId="11" numFmtId="0" xfId="0" applyAlignment="1" applyFont="1">
      <alignment horizontal="center" shrinkToFit="0" vertical="bottom" wrapText="1"/>
    </xf>
    <xf borderId="0" fillId="3" fontId="7" numFmtId="0" xfId="0" applyAlignment="1" applyFont="1">
      <alignment shrinkToFit="0" vertical="bottom" wrapText="1"/>
    </xf>
    <xf borderId="0" fillId="9" fontId="7" numFmtId="0" xfId="0" applyAlignment="1" applyFill="1" applyFont="1">
      <alignment horizontal="right" vertical="bottom"/>
    </xf>
    <xf borderId="0" fillId="0" fontId="11" numFmtId="0" xfId="0" applyAlignment="1" applyFont="1">
      <alignment horizontal="center" readingOrder="0" shrinkToFit="0" vertical="bottom" wrapText="1"/>
    </xf>
    <xf borderId="0" fillId="0" fontId="10" numFmtId="0" xfId="0" applyAlignment="1" applyFont="1">
      <alignment shrinkToFit="0" vertical="bottom" wrapText="1"/>
    </xf>
    <xf borderId="0" fillId="0" fontId="10" numFmtId="0" xfId="0" applyAlignment="1" applyFont="1">
      <alignment readingOrder="0" shrinkToFit="0" vertical="bottom" wrapText="1"/>
    </xf>
    <xf borderId="0" fillId="3" fontId="7" numFmtId="0" xfId="0" applyAlignment="1" applyFont="1">
      <alignment horizontal="center" shrinkToFit="0" vertical="bottom" wrapText="1"/>
    </xf>
    <xf borderId="0" fillId="3" fontId="7" numFmtId="0" xfId="0" applyAlignment="1" applyFont="1">
      <alignment horizontal="center" readingOrder="0" shrinkToFit="0" vertical="bottom" wrapText="1"/>
    </xf>
    <xf borderId="0" fillId="0" fontId="12" numFmtId="0" xfId="0" applyAlignment="1" applyFont="1">
      <alignment horizontal="center" vertical="bottom"/>
    </xf>
    <xf borderId="0" fillId="10" fontId="7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6.0"/>
    <col customWidth="1" min="2" max="2" width="10.38"/>
    <col customWidth="1" min="3" max="3" width="7.88"/>
    <col customWidth="1" min="4" max="4" width="13.0"/>
    <col customWidth="1" min="5" max="5" width="26.5"/>
    <col customWidth="1" min="6" max="6" width="16.0"/>
    <col customWidth="1" min="7" max="7" width="14.25"/>
    <col customWidth="1" min="8" max="8" width="10.63"/>
    <col customWidth="1" min="9" max="9" width="23.5"/>
    <col customWidth="1" min="11" max="12" width="13.88"/>
    <col customWidth="1" min="13" max="13" width="17.25"/>
    <col customWidth="1" min="20" max="20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4" t="s">
        <v>20</v>
      </c>
      <c r="V1" s="4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4" t="s">
        <v>31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6" t="s">
        <v>30</v>
      </c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8"/>
    </row>
    <row r="2">
      <c r="A2" s="9" t="s">
        <v>32</v>
      </c>
      <c r="B2" s="10" t="s">
        <v>33</v>
      </c>
      <c r="C2" s="11">
        <v>1.0</v>
      </c>
      <c r="D2" s="10" t="s">
        <v>34</v>
      </c>
      <c r="E2" s="12" t="s">
        <v>35</v>
      </c>
      <c r="F2" s="9" t="s">
        <v>36</v>
      </c>
      <c r="G2" s="12" t="s">
        <v>37</v>
      </c>
      <c r="H2" s="12">
        <v>7000.0</v>
      </c>
      <c r="I2" s="9" t="s">
        <v>38</v>
      </c>
      <c r="J2" s="13" t="s">
        <v>39</v>
      </c>
      <c r="K2" s="14" t="s">
        <v>40</v>
      </c>
      <c r="L2" s="15">
        <f t="shared" ref="L2:L6" si="1">H2*M2</f>
        <v>1040200</v>
      </c>
      <c r="M2" s="16">
        <v>148.6</v>
      </c>
      <c r="N2" s="17">
        <v>790.0</v>
      </c>
      <c r="O2" s="18">
        <f t="shared" ref="O2:O21" si="2">N2*120/100</f>
        <v>948</v>
      </c>
      <c r="P2" s="19">
        <f t="shared" ref="P2:P21" si="3">O2*0.72</f>
        <v>682.56</v>
      </c>
      <c r="Q2" s="19">
        <f t="shared" ref="Q2:Q21" si="4">P2-S2</f>
        <v>-166.44</v>
      </c>
      <c r="R2" s="17">
        <v>1149.0</v>
      </c>
      <c r="S2" s="17">
        <v>849.0</v>
      </c>
      <c r="T2" s="20"/>
      <c r="U2" s="21">
        <v>0.8</v>
      </c>
      <c r="V2" s="22">
        <f t="shared" ref="V2:V21" si="5">W2*U2%</f>
        <v>0</v>
      </c>
      <c r="W2" s="23">
        <f t="shared" ref="W2:W16" si="6">SUM(X2:AE2)</f>
        <v>0</v>
      </c>
      <c r="X2" s="24"/>
      <c r="Y2" s="24"/>
      <c r="Z2" s="24"/>
      <c r="AA2" s="24"/>
      <c r="AB2" s="24"/>
      <c r="AC2" s="24"/>
      <c r="AD2" s="24"/>
      <c r="AE2" s="24"/>
      <c r="AF2" s="25">
        <f t="shared" ref="AF2:AF3" si="7">SUM(AG2:AN2)</f>
        <v>0</v>
      </c>
      <c r="AG2" s="26"/>
      <c r="AH2" s="24"/>
      <c r="AI2" s="24"/>
      <c r="AJ2" s="22"/>
      <c r="AK2" s="22"/>
      <c r="AL2" s="22"/>
      <c r="AM2" s="22"/>
      <c r="AN2" s="22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8"/>
    </row>
    <row r="3">
      <c r="A3" s="28" t="s">
        <v>41</v>
      </c>
      <c r="B3" s="29" t="s">
        <v>42</v>
      </c>
      <c r="C3" s="30">
        <v>1.0</v>
      </c>
      <c r="D3" s="31" t="s">
        <v>34</v>
      </c>
      <c r="E3" s="32" t="s">
        <v>43</v>
      </c>
      <c r="F3" s="28" t="s">
        <v>36</v>
      </c>
      <c r="G3" s="32" t="s">
        <v>44</v>
      </c>
      <c r="H3" s="32">
        <v>5000.0</v>
      </c>
      <c r="I3" s="28" t="s">
        <v>45</v>
      </c>
      <c r="J3" s="13" t="s">
        <v>46</v>
      </c>
      <c r="K3" s="14" t="s">
        <v>47</v>
      </c>
      <c r="L3" s="15">
        <f t="shared" si="1"/>
        <v>858500</v>
      </c>
      <c r="M3" s="16">
        <v>171.7</v>
      </c>
      <c r="N3" s="33">
        <v>860.0</v>
      </c>
      <c r="O3" s="18">
        <f t="shared" si="2"/>
        <v>1032</v>
      </c>
      <c r="P3" s="19">
        <f t="shared" si="3"/>
        <v>743.04</v>
      </c>
      <c r="Q3" s="19">
        <f t="shared" si="4"/>
        <v>-175.96</v>
      </c>
      <c r="R3" s="33">
        <v>1299.0</v>
      </c>
      <c r="S3" s="33">
        <v>919.0</v>
      </c>
      <c r="T3" s="34"/>
      <c r="U3" s="21">
        <v>0.8</v>
      </c>
      <c r="V3" s="22">
        <f t="shared" si="5"/>
        <v>0</v>
      </c>
      <c r="W3" s="23">
        <f t="shared" si="6"/>
        <v>0</v>
      </c>
      <c r="X3" s="27"/>
      <c r="Y3" s="27"/>
      <c r="Z3" s="27"/>
      <c r="AA3" s="27"/>
      <c r="AB3" s="27"/>
      <c r="AC3" s="27"/>
      <c r="AD3" s="27"/>
      <c r="AE3" s="27"/>
      <c r="AF3" s="35">
        <f t="shared" si="7"/>
        <v>0</v>
      </c>
      <c r="AG3" s="8"/>
      <c r="AH3" s="27"/>
      <c r="AI3" s="27"/>
      <c r="AJ3" s="27"/>
      <c r="AK3" s="36"/>
      <c r="AL3" s="36"/>
      <c r="AM3" s="36"/>
      <c r="AN3" s="36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8"/>
    </row>
    <row r="4" ht="60.0" customHeight="1">
      <c r="A4" s="28" t="s">
        <v>41</v>
      </c>
      <c r="B4" s="31" t="s">
        <v>42</v>
      </c>
      <c r="C4" s="37">
        <v>1.0</v>
      </c>
      <c r="D4" s="31" t="s">
        <v>34</v>
      </c>
      <c r="E4" s="32" t="s">
        <v>43</v>
      </c>
      <c r="F4" s="28" t="s">
        <v>36</v>
      </c>
      <c r="G4" s="32" t="s">
        <v>44</v>
      </c>
      <c r="H4" s="32">
        <v>5000.0</v>
      </c>
      <c r="I4" s="32" t="s">
        <v>48</v>
      </c>
      <c r="J4" s="13"/>
      <c r="K4" s="14" t="s">
        <v>49</v>
      </c>
      <c r="L4" s="15">
        <f t="shared" si="1"/>
        <v>800000</v>
      </c>
      <c r="M4" s="16">
        <v>160.0</v>
      </c>
      <c r="N4" s="33">
        <v>800.0</v>
      </c>
      <c r="O4" s="18">
        <f t="shared" si="2"/>
        <v>960</v>
      </c>
      <c r="P4" s="19">
        <f t="shared" si="3"/>
        <v>691.2</v>
      </c>
      <c r="Q4" s="19">
        <f t="shared" si="4"/>
        <v>-167.8</v>
      </c>
      <c r="R4" s="33">
        <v>1199.0</v>
      </c>
      <c r="S4" s="33">
        <v>859.0</v>
      </c>
      <c r="T4" s="34"/>
      <c r="U4" s="21">
        <v>0.8</v>
      </c>
      <c r="V4" s="22">
        <f t="shared" si="5"/>
        <v>0</v>
      </c>
      <c r="W4" s="23">
        <f t="shared" si="6"/>
        <v>0</v>
      </c>
      <c r="X4" s="27"/>
      <c r="Y4" s="27"/>
      <c r="Z4" s="27"/>
      <c r="AA4" s="27"/>
      <c r="AB4" s="27"/>
      <c r="AC4" s="27"/>
      <c r="AD4" s="27"/>
      <c r="AE4" s="27"/>
      <c r="AF4" s="35"/>
      <c r="AG4" s="8"/>
      <c r="AH4" s="27"/>
      <c r="AI4" s="27"/>
      <c r="AJ4" s="27"/>
      <c r="AK4" s="36"/>
      <c r="AL4" s="36"/>
      <c r="AM4" s="36"/>
      <c r="AN4" s="36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8"/>
    </row>
    <row r="5">
      <c r="A5" s="28" t="s">
        <v>41</v>
      </c>
      <c r="B5" s="29" t="s">
        <v>42</v>
      </c>
      <c r="C5" s="30">
        <v>1.0</v>
      </c>
      <c r="D5" s="31" t="s">
        <v>34</v>
      </c>
      <c r="E5" s="32" t="s">
        <v>43</v>
      </c>
      <c r="F5" s="28" t="s">
        <v>36</v>
      </c>
      <c r="G5" s="32" t="s">
        <v>44</v>
      </c>
      <c r="H5" s="32">
        <v>5000.0</v>
      </c>
      <c r="I5" s="28" t="s">
        <v>50</v>
      </c>
      <c r="J5" s="13" t="s">
        <v>46</v>
      </c>
      <c r="K5" s="14" t="s">
        <v>47</v>
      </c>
      <c r="L5" s="15">
        <f t="shared" si="1"/>
        <v>808500</v>
      </c>
      <c r="M5" s="16">
        <v>161.7</v>
      </c>
      <c r="N5" s="33">
        <v>810.0</v>
      </c>
      <c r="O5" s="18">
        <f t="shared" si="2"/>
        <v>972</v>
      </c>
      <c r="P5" s="19">
        <f t="shared" si="3"/>
        <v>699.84</v>
      </c>
      <c r="Q5" s="19">
        <f t="shared" si="4"/>
        <v>-179.16</v>
      </c>
      <c r="R5" s="33">
        <v>1199.0</v>
      </c>
      <c r="S5" s="33">
        <v>879.0</v>
      </c>
      <c r="T5" s="34"/>
      <c r="U5" s="21">
        <v>0.8</v>
      </c>
      <c r="V5" s="22">
        <f t="shared" si="5"/>
        <v>0</v>
      </c>
      <c r="W5" s="23">
        <f t="shared" si="6"/>
        <v>0</v>
      </c>
      <c r="X5" s="27"/>
      <c r="Y5" s="27"/>
      <c r="Z5" s="27"/>
      <c r="AA5" s="27"/>
      <c r="AB5" s="27"/>
      <c r="AC5" s="27"/>
      <c r="AD5" s="27"/>
      <c r="AE5" s="27"/>
      <c r="AF5" s="35">
        <f>SUM(AG5:AN5)</f>
        <v>0</v>
      </c>
      <c r="AG5" s="8"/>
      <c r="AH5" s="27"/>
      <c r="AI5" s="27"/>
      <c r="AJ5" s="27"/>
      <c r="AK5" s="27"/>
      <c r="AL5" s="38"/>
      <c r="AM5" s="38"/>
      <c r="AN5" s="38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8"/>
    </row>
    <row r="6" ht="59.25" customHeight="1">
      <c r="A6" s="28" t="s">
        <v>32</v>
      </c>
      <c r="B6" s="31" t="s">
        <v>42</v>
      </c>
      <c r="C6" s="37">
        <v>1.0</v>
      </c>
      <c r="D6" s="31" t="s">
        <v>34</v>
      </c>
      <c r="E6" s="32" t="s">
        <v>43</v>
      </c>
      <c r="F6" s="28" t="s">
        <v>36</v>
      </c>
      <c r="G6" s="32" t="s">
        <v>44</v>
      </c>
      <c r="H6" s="32">
        <v>3000.0</v>
      </c>
      <c r="I6" s="32" t="s">
        <v>51</v>
      </c>
      <c r="J6" s="13"/>
      <c r="K6" s="14" t="s">
        <v>52</v>
      </c>
      <c r="L6" s="15">
        <f t="shared" si="1"/>
        <v>360000</v>
      </c>
      <c r="M6" s="16">
        <v>120.0</v>
      </c>
      <c r="N6" s="33">
        <v>600.0</v>
      </c>
      <c r="O6" s="18">
        <f t="shared" si="2"/>
        <v>720</v>
      </c>
      <c r="P6" s="19">
        <f t="shared" si="3"/>
        <v>518.4</v>
      </c>
      <c r="Q6" s="19">
        <f t="shared" si="4"/>
        <v>-130.6</v>
      </c>
      <c r="R6" s="33">
        <v>949.0</v>
      </c>
      <c r="S6" s="33">
        <v>649.0</v>
      </c>
      <c r="T6" s="34"/>
      <c r="U6" s="21">
        <v>0.8</v>
      </c>
      <c r="V6" s="22">
        <f t="shared" si="5"/>
        <v>0</v>
      </c>
      <c r="W6" s="23">
        <f t="shared" si="6"/>
        <v>0</v>
      </c>
      <c r="X6" s="27"/>
      <c r="Y6" s="27"/>
      <c r="Z6" s="27"/>
      <c r="AA6" s="27"/>
      <c r="AB6" s="27"/>
      <c r="AC6" s="27"/>
      <c r="AD6" s="27"/>
      <c r="AE6" s="27"/>
      <c r="AF6" s="35"/>
      <c r="AG6" s="8"/>
      <c r="AH6" s="27"/>
      <c r="AI6" s="27"/>
      <c r="AJ6" s="27"/>
      <c r="AK6" s="27"/>
      <c r="AL6" s="38"/>
      <c r="AM6" s="38"/>
      <c r="AN6" s="38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8"/>
    </row>
    <row r="7">
      <c r="A7" s="28" t="s">
        <v>32</v>
      </c>
      <c r="B7" s="29" t="s">
        <v>33</v>
      </c>
      <c r="C7" s="30">
        <v>1.0</v>
      </c>
      <c r="D7" s="31" t="s">
        <v>53</v>
      </c>
      <c r="E7" s="32" t="s">
        <v>54</v>
      </c>
      <c r="F7" s="28" t="s">
        <v>55</v>
      </c>
      <c r="G7" s="32" t="s">
        <v>37</v>
      </c>
      <c r="H7" s="39" t="s">
        <v>56</v>
      </c>
      <c r="I7" s="28" t="s">
        <v>57</v>
      </c>
      <c r="J7" s="13" t="s">
        <v>39</v>
      </c>
      <c r="K7" s="14" t="s">
        <v>40</v>
      </c>
      <c r="L7" s="14"/>
      <c r="M7" s="16">
        <v>220.0</v>
      </c>
      <c r="N7" s="40"/>
      <c r="O7" s="41">
        <f t="shared" si="2"/>
        <v>0</v>
      </c>
      <c r="P7" s="41">
        <f t="shared" si="3"/>
        <v>0</v>
      </c>
      <c r="Q7" s="41">
        <f t="shared" si="4"/>
        <v>0</v>
      </c>
      <c r="R7" s="40"/>
      <c r="S7" s="40"/>
      <c r="T7" s="42"/>
      <c r="U7" s="40"/>
      <c r="V7" s="38">
        <f t="shared" si="5"/>
        <v>0</v>
      </c>
      <c r="W7" s="43">
        <f t="shared" si="6"/>
        <v>0</v>
      </c>
      <c r="X7" s="44"/>
      <c r="Y7" s="44"/>
      <c r="Z7" s="44"/>
      <c r="AA7" s="44"/>
      <c r="AB7" s="44"/>
      <c r="AC7" s="44"/>
      <c r="AD7" s="44"/>
      <c r="AE7" s="44"/>
      <c r="AF7" s="35" t="str">
        <f t="shared" ref="AF7:AF16" si="9">SUM(AG7:AN7)</f>
        <v>#DIV/0!</v>
      </c>
      <c r="AG7" s="40"/>
      <c r="AH7" s="44"/>
      <c r="AI7" s="44"/>
      <c r="AJ7" s="44"/>
      <c r="AK7" s="44"/>
      <c r="AL7" s="36" t="str">
        <f t="shared" ref="AL7:AN7" si="8">AC7/$O7</f>
        <v>#DIV/0!</v>
      </c>
      <c r="AM7" s="36" t="str">
        <f t="shared" si="8"/>
        <v>#DIV/0!</v>
      </c>
      <c r="AN7" s="36" t="str">
        <f t="shared" si="8"/>
        <v>#DIV/0!</v>
      </c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0"/>
    </row>
    <row r="8">
      <c r="A8" s="28" t="s">
        <v>32</v>
      </c>
      <c r="B8" s="29" t="s">
        <v>33</v>
      </c>
      <c r="C8" s="30">
        <v>1.0</v>
      </c>
      <c r="D8" s="29" t="s">
        <v>58</v>
      </c>
      <c r="E8" s="45"/>
      <c r="F8" s="28" t="s">
        <v>55</v>
      </c>
      <c r="G8" s="28"/>
      <c r="H8" s="28"/>
      <c r="I8" s="28" t="s">
        <v>59</v>
      </c>
      <c r="J8" s="13" t="s">
        <v>60</v>
      </c>
      <c r="K8" s="14" t="s">
        <v>61</v>
      </c>
      <c r="L8" s="14"/>
      <c r="M8" s="46">
        <v>120.0</v>
      </c>
      <c r="N8" s="40"/>
      <c r="O8" s="47">
        <f t="shared" si="2"/>
        <v>0</v>
      </c>
      <c r="P8" s="41">
        <f t="shared" si="3"/>
        <v>0</v>
      </c>
      <c r="Q8" s="41">
        <f t="shared" si="4"/>
        <v>0</v>
      </c>
      <c r="R8" s="40"/>
      <c r="S8" s="40"/>
      <c r="T8" s="42"/>
      <c r="U8" s="40"/>
      <c r="V8" s="38">
        <f t="shared" si="5"/>
        <v>0</v>
      </c>
      <c r="W8" s="43">
        <f t="shared" si="6"/>
        <v>0</v>
      </c>
      <c r="X8" s="44"/>
      <c r="Y8" s="44"/>
      <c r="Z8" s="44"/>
      <c r="AA8" s="44"/>
      <c r="AB8" s="44"/>
      <c r="AC8" s="44"/>
      <c r="AD8" s="44"/>
      <c r="AE8" s="44"/>
      <c r="AF8" s="35" t="str">
        <f t="shared" si="9"/>
        <v>#DIV/0!</v>
      </c>
      <c r="AG8" s="40"/>
      <c r="AH8" s="44"/>
      <c r="AI8" s="44"/>
      <c r="AJ8" s="44"/>
      <c r="AK8" s="44"/>
      <c r="AL8" s="36" t="str">
        <f t="shared" ref="AL8:AN8" si="10">AC8/$O8</f>
        <v>#DIV/0!</v>
      </c>
      <c r="AM8" s="36" t="str">
        <f t="shared" si="10"/>
        <v>#DIV/0!</v>
      </c>
      <c r="AN8" s="36" t="str">
        <f t="shared" si="10"/>
        <v>#DIV/0!</v>
      </c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0"/>
    </row>
    <row r="9">
      <c r="A9" s="28" t="s">
        <v>32</v>
      </c>
      <c r="B9" s="29" t="s">
        <v>33</v>
      </c>
      <c r="C9" s="30">
        <v>1.0</v>
      </c>
      <c r="D9" s="29" t="s">
        <v>62</v>
      </c>
      <c r="E9" s="32" t="s">
        <v>63</v>
      </c>
      <c r="F9" s="28" t="s">
        <v>36</v>
      </c>
      <c r="G9" s="28"/>
      <c r="H9" s="28"/>
      <c r="I9" s="28" t="s">
        <v>64</v>
      </c>
      <c r="J9" s="13" t="s">
        <v>39</v>
      </c>
      <c r="K9" s="14" t="s">
        <v>65</v>
      </c>
      <c r="L9" s="14"/>
      <c r="M9" s="46">
        <v>180.0</v>
      </c>
      <c r="N9" s="40"/>
      <c r="O9" s="48">
        <f t="shared" si="2"/>
        <v>0</v>
      </c>
      <c r="P9" s="49">
        <f t="shared" si="3"/>
        <v>0</v>
      </c>
      <c r="Q9" s="49">
        <f t="shared" si="4"/>
        <v>0</v>
      </c>
      <c r="R9" s="40"/>
      <c r="S9" s="40"/>
      <c r="T9" s="42"/>
      <c r="U9" s="40"/>
      <c r="V9" s="38">
        <f t="shared" si="5"/>
        <v>0</v>
      </c>
      <c r="W9" s="43">
        <f t="shared" si="6"/>
        <v>0</v>
      </c>
      <c r="X9" s="44"/>
      <c r="Y9" s="44"/>
      <c r="Z9" s="44"/>
      <c r="AA9" s="44"/>
      <c r="AB9" s="44"/>
      <c r="AC9" s="44"/>
      <c r="AD9" s="44"/>
      <c r="AE9" s="44"/>
      <c r="AF9" s="35" t="str">
        <f t="shared" si="9"/>
        <v>#DIV/0!</v>
      </c>
      <c r="AG9" s="40"/>
      <c r="AH9" s="44"/>
      <c r="AI9" s="44"/>
      <c r="AJ9" s="44"/>
      <c r="AK9" s="44"/>
      <c r="AL9" s="44"/>
      <c r="AM9" s="44"/>
      <c r="AN9" s="36" t="str">
        <f>AE9/$O9</f>
        <v>#DIV/0!</v>
      </c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0"/>
    </row>
    <row r="10">
      <c r="A10" s="28" t="s">
        <v>41</v>
      </c>
      <c r="B10" s="29" t="s">
        <v>42</v>
      </c>
      <c r="C10" s="30">
        <v>1.0</v>
      </c>
      <c r="D10" s="31" t="s">
        <v>66</v>
      </c>
      <c r="E10" s="32" t="s">
        <v>43</v>
      </c>
      <c r="F10" s="28" t="s">
        <v>36</v>
      </c>
      <c r="G10" s="32" t="s">
        <v>37</v>
      </c>
      <c r="H10" s="32">
        <v>7000.0</v>
      </c>
      <c r="I10" s="28" t="s">
        <v>67</v>
      </c>
      <c r="J10" s="13" t="s">
        <v>46</v>
      </c>
      <c r="K10" s="14" t="s">
        <v>47</v>
      </c>
      <c r="L10" s="15">
        <f>H10*M10</f>
        <v>1050000</v>
      </c>
      <c r="M10" s="33">
        <v>150.0</v>
      </c>
      <c r="N10" s="33">
        <v>750.0</v>
      </c>
      <c r="O10" s="18">
        <f t="shared" si="2"/>
        <v>900</v>
      </c>
      <c r="P10" s="19">
        <f t="shared" si="3"/>
        <v>648</v>
      </c>
      <c r="Q10" s="19">
        <f t="shared" si="4"/>
        <v>-21</v>
      </c>
      <c r="R10" s="33">
        <v>949.0</v>
      </c>
      <c r="S10" s="33">
        <v>669.0</v>
      </c>
      <c r="T10" s="34"/>
      <c r="U10" s="21">
        <v>0.8</v>
      </c>
      <c r="V10" s="22">
        <f t="shared" si="5"/>
        <v>0</v>
      </c>
      <c r="W10" s="23">
        <f t="shared" si="6"/>
        <v>0</v>
      </c>
      <c r="X10" s="27"/>
      <c r="Y10" s="27"/>
      <c r="Z10" s="27"/>
      <c r="AA10" s="27"/>
      <c r="AB10" s="27"/>
      <c r="AC10" s="27"/>
      <c r="AD10" s="27"/>
      <c r="AE10" s="27"/>
      <c r="AF10" s="35">
        <f t="shared" si="9"/>
        <v>0</v>
      </c>
      <c r="AG10" s="8"/>
      <c r="AH10" s="27"/>
      <c r="AI10" s="27"/>
      <c r="AJ10" s="27"/>
      <c r="AK10" s="27"/>
      <c r="AL10" s="27"/>
      <c r="AM10" s="27"/>
      <c r="AN10" s="36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8"/>
    </row>
    <row r="11">
      <c r="A11" s="28" t="s">
        <v>68</v>
      </c>
      <c r="B11" s="29" t="s">
        <v>42</v>
      </c>
      <c r="C11" s="30">
        <v>3.0</v>
      </c>
      <c r="D11" s="31" t="s">
        <v>69</v>
      </c>
      <c r="E11" s="32" t="s">
        <v>70</v>
      </c>
      <c r="F11" s="28" t="s">
        <v>55</v>
      </c>
      <c r="G11" s="32" t="s">
        <v>71</v>
      </c>
      <c r="H11" s="28"/>
      <c r="I11" s="28" t="s">
        <v>72</v>
      </c>
      <c r="J11" s="13" t="s">
        <v>73</v>
      </c>
      <c r="K11" s="14" t="s">
        <v>74</v>
      </c>
      <c r="L11" s="14"/>
      <c r="M11" s="16" t="s">
        <v>75</v>
      </c>
      <c r="N11" s="40"/>
      <c r="O11" s="48">
        <f t="shared" si="2"/>
        <v>0</v>
      </c>
      <c r="P11" s="49">
        <f t="shared" si="3"/>
        <v>0</v>
      </c>
      <c r="Q11" s="49">
        <f t="shared" si="4"/>
        <v>0</v>
      </c>
      <c r="R11" s="40"/>
      <c r="S11" s="40"/>
      <c r="T11" s="42"/>
      <c r="U11" s="40"/>
      <c r="V11" s="38">
        <f t="shared" si="5"/>
        <v>0</v>
      </c>
      <c r="W11" s="43">
        <f t="shared" si="6"/>
        <v>0</v>
      </c>
      <c r="X11" s="44"/>
      <c r="Y11" s="44"/>
      <c r="Z11" s="44"/>
      <c r="AA11" s="44"/>
      <c r="AB11" s="44"/>
      <c r="AC11" s="44"/>
      <c r="AD11" s="44"/>
      <c r="AE11" s="44"/>
      <c r="AF11" s="35" t="str">
        <f t="shared" si="9"/>
        <v>#DIV/0!</v>
      </c>
      <c r="AG11" s="40"/>
      <c r="AH11" s="44"/>
      <c r="AI11" s="44"/>
      <c r="AJ11" s="44"/>
      <c r="AK11" s="44"/>
      <c r="AL11" s="44"/>
      <c r="AM11" s="44"/>
      <c r="AN11" s="36" t="str">
        <f t="shared" ref="AN11:AN15" si="11">AE11/O11</f>
        <v>#DIV/0!</v>
      </c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0"/>
    </row>
    <row r="12">
      <c r="A12" s="28" t="s">
        <v>68</v>
      </c>
      <c r="B12" s="29" t="s">
        <v>42</v>
      </c>
      <c r="C12" s="30">
        <v>1.0</v>
      </c>
      <c r="D12" s="31" t="s">
        <v>69</v>
      </c>
      <c r="E12" s="32" t="s">
        <v>70</v>
      </c>
      <c r="F12" s="28" t="s">
        <v>36</v>
      </c>
      <c r="G12" s="32" t="s">
        <v>71</v>
      </c>
      <c r="H12" s="28"/>
      <c r="I12" s="28" t="s">
        <v>76</v>
      </c>
      <c r="J12" s="13" t="s">
        <v>77</v>
      </c>
      <c r="K12" s="40"/>
      <c r="L12" s="40"/>
      <c r="M12" s="40"/>
      <c r="N12" s="40"/>
      <c r="O12" s="48">
        <f t="shared" si="2"/>
        <v>0</v>
      </c>
      <c r="P12" s="49">
        <f t="shared" si="3"/>
        <v>0</v>
      </c>
      <c r="Q12" s="49">
        <f t="shared" si="4"/>
        <v>0</v>
      </c>
      <c r="R12" s="40"/>
      <c r="S12" s="40"/>
      <c r="T12" s="42"/>
      <c r="U12" s="40"/>
      <c r="V12" s="38">
        <f t="shared" si="5"/>
        <v>0</v>
      </c>
      <c r="W12" s="43">
        <f t="shared" si="6"/>
        <v>0</v>
      </c>
      <c r="X12" s="44"/>
      <c r="Y12" s="44"/>
      <c r="Z12" s="44"/>
      <c r="AA12" s="44"/>
      <c r="AB12" s="44"/>
      <c r="AC12" s="44"/>
      <c r="AD12" s="44"/>
      <c r="AE12" s="44"/>
      <c r="AF12" s="35" t="str">
        <f t="shared" si="9"/>
        <v>#DIV/0!</v>
      </c>
      <c r="AG12" s="40"/>
      <c r="AH12" s="44"/>
      <c r="AI12" s="44"/>
      <c r="AJ12" s="44"/>
      <c r="AK12" s="44"/>
      <c r="AL12" s="44"/>
      <c r="AM12" s="44"/>
      <c r="AN12" s="36" t="str">
        <f t="shared" si="11"/>
        <v>#DIV/0!</v>
      </c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0"/>
    </row>
    <row r="13">
      <c r="A13" s="28" t="s">
        <v>68</v>
      </c>
      <c r="B13" s="29" t="s">
        <v>42</v>
      </c>
      <c r="C13" s="30">
        <v>3.0</v>
      </c>
      <c r="D13" s="29" t="s">
        <v>78</v>
      </c>
      <c r="E13" s="32" t="s">
        <v>70</v>
      </c>
      <c r="F13" s="28" t="s">
        <v>36</v>
      </c>
      <c r="G13" s="32" t="s">
        <v>71</v>
      </c>
      <c r="H13" s="28"/>
      <c r="I13" s="28" t="s">
        <v>79</v>
      </c>
      <c r="J13" s="13" t="s">
        <v>77</v>
      </c>
      <c r="K13" s="40"/>
      <c r="L13" s="40"/>
      <c r="M13" s="40"/>
      <c r="N13" s="40"/>
      <c r="O13" s="48">
        <f t="shared" si="2"/>
        <v>0</v>
      </c>
      <c r="P13" s="49">
        <f t="shared" si="3"/>
        <v>0</v>
      </c>
      <c r="Q13" s="49">
        <f t="shared" si="4"/>
        <v>0</v>
      </c>
      <c r="R13" s="40"/>
      <c r="S13" s="40"/>
      <c r="T13" s="42"/>
      <c r="U13" s="40"/>
      <c r="V13" s="38">
        <f t="shared" si="5"/>
        <v>0</v>
      </c>
      <c r="W13" s="43">
        <f t="shared" si="6"/>
        <v>0</v>
      </c>
      <c r="X13" s="44"/>
      <c r="Y13" s="44"/>
      <c r="Z13" s="44"/>
      <c r="AA13" s="44"/>
      <c r="AB13" s="44"/>
      <c r="AC13" s="44"/>
      <c r="AD13" s="44"/>
      <c r="AE13" s="44"/>
      <c r="AF13" s="35" t="str">
        <f t="shared" si="9"/>
        <v>#DIV/0!</v>
      </c>
      <c r="AG13" s="40"/>
      <c r="AH13" s="44"/>
      <c r="AI13" s="44"/>
      <c r="AJ13" s="44"/>
      <c r="AK13" s="44"/>
      <c r="AL13" s="44"/>
      <c r="AM13" s="44"/>
      <c r="AN13" s="36" t="str">
        <f t="shared" si="11"/>
        <v>#DIV/0!</v>
      </c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0"/>
    </row>
    <row r="14">
      <c r="A14" s="28" t="s">
        <v>68</v>
      </c>
      <c r="B14" s="29" t="s">
        <v>42</v>
      </c>
      <c r="C14" s="30">
        <v>3.0</v>
      </c>
      <c r="D14" s="31" t="s">
        <v>69</v>
      </c>
      <c r="E14" s="32" t="s">
        <v>80</v>
      </c>
      <c r="F14" s="32" t="s">
        <v>36</v>
      </c>
      <c r="G14" s="32"/>
      <c r="H14" s="32"/>
      <c r="I14" s="28" t="s">
        <v>81</v>
      </c>
      <c r="J14" s="13" t="s">
        <v>77</v>
      </c>
      <c r="K14" s="14" t="s">
        <v>82</v>
      </c>
      <c r="L14" s="14"/>
      <c r="M14" s="50">
        <v>126.0</v>
      </c>
      <c r="N14" s="40"/>
      <c r="O14" s="48">
        <f t="shared" si="2"/>
        <v>0</v>
      </c>
      <c r="P14" s="49">
        <f t="shared" si="3"/>
        <v>0</v>
      </c>
      <c r="Q14" s="49">
        <f t="shared" si="4"/>
        <v>0</v>
      </c>
      <c r="R14" s="40"/>
      <c r="S14" s="40"/>
      <c r="T14" s="42"/>
      <c r="U14" s="40"/>
      <c r="V14" s="38">
        <f t="shared" si="5"/>
        <v>0</v>
      </c>
      <c r="W14" s="43">
        <f t="shared" si="6"/>
        <v>0</v>
      </c>
      <c r="X14" s="44"/>
      <c r="Y14" s="44"/>
      <c r="Z14" s="44"/>
      <c r="AA14" s="44"/>
      <c r="AB14" s="44"/>
      <c r="AC14" s="44"/>
      <c r="AD14" s="44"/>
      <c r="AE14" s="44"/>
      <c r="AF14" s="35" t="str">
        <f t="shared" si="9"/>
        <v>#DIV/0!</v>
      </c>
      <c r="AG14" s="40"/>
      <c r="AH14" s="44"/>
      <c r="AI14" s="44"/>
      <c r="AJ14" s="44"/>
      <c r="AK14" s="44"/>
      <c r="AL14" s="44"/>
      <c r="AM14" s="44"/>
      <c r="AN14" s="36" t="str">
        <f t="shared" si="11"/>
        <v>#DIV/0!</v>
      </c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0"/>
    </row>
    <row r="15">
      <c r="A15" s="28" t="s">
        <v>68</v>
      </c>
      <c r="B15" s="29" t="s">
        <v>42</v>
      </c>
      <c r="C15" s="30">
        <v>1.0</v>
      </c>
      <c r="D15" s="29" t="s">
        <v>78</v>
      </c>
      <c r="E15" s="32" t="s">
        <v>83</v>
      </c>
      <c r="F15" s="28" t="s">
        <v>36</v>
      </c>
      <c r="G15" s="28"/>
      <c r="H15" s="28"/>
      <c r="I15" s="28" t="s">
        <v>84</v>
      </c>
      <c r="J15" s="13" t="s">
        <v>73</v>
      </c>
      <c r="K15" s="14"/>
      <c r="L15" s="14"/>
      <c r="M15" s="40"/>
      <c r="N15" s="40"/>
      <c r="O15" s="48">
        <f t="shared" si="2"/>
        <v>0</v>
      </c>
      <c r="P15" s="49">
        <f t="shared" si="3"/>
        <v>0</v>
      </c>
      <c r="Q15" s="49">
        <f t="shared" si="4"/>
        <v>0</v>
      </c>
      <c r="R15" s="40"/>
      <c r="S15" s="40"/>
      <c r="T15" s="42"/>
      <c r="U15" s="40"/>
      <c r="V15" s="38">
        <f t="shared" si="5"/>
        <v>0</v>
      </c>
      <c r="W15" s="43">
        <f t="shared" si="6"/>
        <v>0</v>
      </c>
      <c r="X15" s="44"/>
      <c r="Y15" s="44"/>
      <c r="Z15" s="44"/>
      <c r="AA15" s="44"/>
      <c r="AB15" s="44"/>
      <c r="AC15" s="44"/>
      <c r="AD15" s="44"/>
      <c r="AE15" s="44"/>
      <c r="AF15" s="35" t="str">
        <f t="shared" si="9"/>
        <v>#DIV/0!</v>
      </c>
      <c r="AG15" s="40"/>
      <c r="AH15" s="44"/>
      <c r="AI15" s="44"/>
      <c r="AJ15" s="44"/>
      <c r="AK15" s="44"/>
      <c r="AL15" s="44"/>
      <c r="AM15" s="44"/>
      <c r="AN15" s="36" t="str">
        <f t="shared" si="11"/>
        <v>#DIV/0!</v>
      </c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0"/>
    </row>
    <row r="16">
      <c r="A16" s="51" t="s">
        <v>41</v>
      </c>
      <c r="B16" s="52" t="s">
        <v>42</v>
      </c>
      <c r="C16" s="53">
        <v>1.0</v>
      </c>
      <c r="D16" s="52" t="s">
        <v>53</v>
      </c>
      <c r="E16" s="54" t="s">
        <v>85</v>
      </c>
      <c r="F16" s="54" t="s">
        <v>36</v>
      </c>
      <c r="G16" s="54"/>
      <c r="H16" s="54"/>
      <c r="I16" s="51" t="s">
        <v>86</v>
      </c>
      <c r="J16" s="13" t="s">
        <v>87</v>
      </c>
      <c r="K16" s="14"/>
      <c r="L16" s="14"/>
      <c r="M16" s="16">
        <v>115.0</v>
      </c>
      <c r="N16" s="40"/>
      <c r="O16" s="48">
        <f t="shared" si="2"/>
        <v>0</v>
      </c>
      <c r="P16" s="49">
        <f t="shared" si="3"/>
        <v>0</v>
      </c>
      <c r="Q16" s="49">
        <f t="shared" si="4"/>
        <v>0</v>
      </c>
      <c r="R16" s="40"/>
      <c r="S16" s="40"/>
      <c r="T16" s="42"/>
      <c r="U16" s="40"/>
      <c r="V16" s="38">
        <f t="shared" si="5"/>
        <v>0</v>
      </c>
      <c r="W16" s="43">
        <f t="shared" si="6"/>
        <v>0</v>
      </c>
      <c r="X16" s="40"/>
      <c r="Y16" s="40"/>
      <c r="Z16" s="44"/>
      <c r="AA16" s="44"/>
      <c r="AB16" s="44"/>
      <c r="AC16" s="44"/>
      <c r="AD16" s="44"/>
      <c r="AE16" s="44"/>
      <c r="AF16" s="35">
        <f t="shared" si="9"/>
        <v>9803.921569</v>
      </c>
      <c r="AG16" s="40"/>
      <c r="AH16" s="40"/>
      <c r="AI16" s="44"/>
      <c r="AJ16" s="44"/>
      <c r="AK16" s="44"/>
      <c r="AL16" s="44"/>
      <c r="AM16" s="44"/>
      <c r="AN16" s="38">
        <v>9803.921568627451</v>
      </c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</row>
    <row r="17">
      <c r="A17" s="28" t="s">
        <v>41</v>
      </c>
      <c r="B17" s="29" t="s">
        <v>42</v>
      </c>
      <c r="C17" s="55">
        <v>1.0</v>
      </c>
      <c r="D17" s="31" t="s">
        <v>66</v>
      </c>
      <c r="E17" s="32" t="s">
        <v>35</v>
      </c>
      <c r="F17" s="28" t="s">
        <v>36</v>
      </c>
      <c r="G17" s="28"/>
      <c r="H17" s="39" t="s">
        <v>88</v>
      </c>
      <c r="I17" s="28" t="s">
        <v>89</v>
      </c>
      <c r="J17" s="13" t="s">
        <v>90</v>
      </c>
      <c r="K17" s="14"/>
      <c r="L17" s="14"/>
      <c r="M17" s="16">
        <v>156.0</v>
      </c>
      <c r="N17" s="40"/>
      <c r="O17" s="47">
        <f t="shared" si="2"/>
        <v>0</v>
      </c>
      <c r="P17" s="41">
        <f t="shared" si="3"/>
        <v>0</v>
      </c>
      <c r="Q17" s="41">
        <f t="shared" si="4"/>
        <v>0</v>
      </c>
      <c r="R17" s="40"/>
      <c r="S17" s="40"/>
      <c r="T17" s="42"/>
      <c r="U17" s="40"/>
      <c r="V17" s="38">
        <f t="shared" si="5"/>
        <v>0</v>
      </c>
      <c r="W17" s="56">
        <f>SUM(AD17:AE17)</f>
        <v>0</v>
      </c>
      <c r="X17" s="40"/>
      <c r="Y17" s="40"/>
      <c r="Z17" s="44"/>
      <c r="AA17" s="44"/>
      <c r="AB17" s="44"/>
      <c r="AC17" s="44"/>
      <c r="AD17" s="44"/>
      <c r="AE17" s="44"/>
      <c r="AF17" s="35" t="str">
        <f>SUM(AM17:AN17)</f>
        <v>#DIV/0!</v>
      </c>
      <c r="AG17" s="40"/>
      <c r="AH17" s="40"/>
      <c r="AI17" s="44"/>
      <c r="AJ17" s="44"/>
      <c r="AK17" s="44"/>
      <c r="AL17" s="44"/>
      <c r="AM17" s="44"/>
      <c r="AN17" s="36" t="str">
        <f>AE17/O17</f>
        <v>#DIV/0!</v>
      </c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</row>
    <row r="18">
      <c r="A18" s="28" t="s">
        <v>41</v>
      </c>
      <c r="B18" s="29" t="s">
        <v>42</v>
      </c>
      <c r="C18" s="30">
        <v>1.0</v>
      </c>
      <c r="D18" s="31" t="s">
        <v>66</v>
      </c>
      <c r="E18" s="32" t="s">
        <v>35</v>
      </c>
      <c r="F18" s="28" t="s">
        <v>36</v>
      </c>
      <c r="G18" s="28"/>
      <c r="H18" s="39" t="s">
        <v>88</v>
      </c>
      <c r="I18" s="28" t="s">
        <v>91</v>
      </c>
      <c r="J18" s="13" t="s">
        <v>90</v>
      </c>
      <c r="K18" s="14"/>
      <c r="L18" s="14"/>
      <c r="M18" s="16">
        <v>145.0</v>
      </c>
      <c r="N18" s="40"/>
      <c r="O18" s="41">
        <f t="shared" si="2"/>
        <v>0</v>
      </c>
      <c r="P18" s="41">
        <f t="shared" si="3"/>
        <v>0</v>
      </c>
      <c r="Q18" s="41">
        <f t="shared" si="4"/>
        <v>0</v>
      </c>
      <c r="R18" s="40"/>
      <c r="S18" s="40"/>
      <c r="T18" s="42"/>
      <c r="U18" s="40"/>
      <c r="V18" s="57">
        <f t="shared" si="5"/>
        <v>0</v>
      </c>
      <c r="W18" s="56">
        <f t="shared" ref="W18:W21" si="12">SUM(X18:AE18)</f>
        <v>3000000</v>
      </c>
      <c r="X18" s="40"/>
      <c r="Y18" s="40"/>
      <c r="Z18" s="38">
        <v>3000000.0</v>
      </c>
      <c r="AA18" s="44"/>
      <c r="AB18" s="44"/>
      <c r="AC18" s="44"/>
      <c r="AD18" s="44"/>
      <c r="AE18" s="44"/>
      <c r="AF18" s="35" t="str">
        <f t="shared" ref="AF18:AF21" si="13">SUM(AG18:AN18)</f>
        <v>#DIV/0!</v>
      </c>
      <c r="AG18" s="40"/>
      <c r="AH18" s="40"/>
      <c r="AI18" s="36" t="str">
        <f>Z18/O18</f>
        <v>#DIV/0!</v>
      </c>
      <c r="AJ18" s="38">
        <v>10000.0</v>
      </c>
      <c r="AK18" s="38">
        <v>8000.0</v>
      </c>
      <c r="AL18" s="38">
        <v>7000.0</v>
      </c>
      <c r="AM18" s="38">
        <v>6000.0</v>
      </c>
      <c r="AN18" s="38">
        <v>6000.0</v>
      </c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</row>
    <row r="19">
      <c r="A19" s="28" t="s">
        <v>41</v>
      </c>
      <c r="B19" s="29" t="s">
        <v>33</v>
      </c>
      <c r="C19" s="37">
        <v>3.0</v>
      </c>
      <c r="D19" s="31" t="s">
        <v>53</v>
      </c>
      <c r="E19" s="58" t="s">
        <v>63</v>
      </c>
      <c r="F19" s="28" t="s">
        <v>36</v>
      </c>
      <c r="G19" s="28"/>
      <c r="H19" s="28"/>
      <c r="I19" s="28" t="s">
        <v>92</v>
      </c>
      <c r="J19" s="59"/>
      <c r="K19" s="14" t="s">
        <v>93</v>
      </c>
      <c r="L19" s="14"/>
      <c r="M19" s="16" t="s">
        <v>94</v>
      </c>
      <c r="N19" s="59"/>
      <c r="O19" s="60">
        <f t="shared" si="2"/>
        <v>0</v>
      </c>
      <c r="P19" s="41">
        <f t="shared" si="3"/>
        <v>0</v>
      </c>
      <c r="Q19" s="41">
        <f t="shared" si="4"/>
        <v>0</v>
      </c>
      <c r="R19" s="59"/>
      <c r="S19" s="59"/>
      <c r="T19" s="42"/>
      <c r="U19" s="59"/>
      <c r="V19" s="57">
        <f t="shared" si="5"/>
        <v>0</v>
      </c>
      <c r="W19" s="61">
        <f t="shared" si="12"/>
        <v>0</v>
      </c>
      <c r="X19" s="59"/>
      <c r="Y19" s="59"/>
      <c r="Z19" s="62"/>
      <c r="AA19" s="62"/>
      <c r="AB19" s="62"/>
      <c r="AC19" s="62"/>
      <c r="AD19" s="62"/>
      <c r="AE19" s="44"/>
      <c r="AF19" s="35">
        <f t="shared" si="13"/>
        <v>83334</v>
      </c>
      <c r="AG19" s="59"/>
      <c r="AH19" s="59"/>
      <c r="AI19" s="44"/>
      <c r="AJ19" s="38">
        <v>9690.0</v>
      </c>
      <c r="AK19" s="38">
        <v>17442.0</v>
      </c>
      <c r="AL19" s="38">
        <v>21318.0</v>
      </c>
      <c r="AM19" s="38">
        <v>21318.0</v>
      </c>
      <c r="AN19" s="38">
        <v>13566.0</v>
      </c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40"/>
    </row>
    <row r="20">
      <c r="A20" s="28" t="s">
        <v>32</v>
      </c>
      <c r="B20" s="29" t="s">
        <v>42</v>
      </c>
      <c r="C20" s="30">
        <v>1.0</v>
      </c>
      <c r="D20" s="29" t="s">
        <v>78</v>
      </c>
      <c r="E20" s="31" t="s">
        <v>95</v>
      </c>
      <c r="F20" s="32" t="s">
        <v>36</v>
      </c>
      <c r="G20" s="32"/>
      <c r="H20" s="32"/>
      <c r="I20" s="28" t="s">
        <v>96</v>
      </c>
      <c r="J20" s="63" t="s">
        <v>97</v>
      </c>
      <c r="K20" s="59"/>
      <c r="L20" s="59"/>
      <c r="M20" s="59"/>
      <c r="N20" s="59"/>
      <c r="O20" s="60">
        <f t="shared" si="2"/>
        <v>0</v>
      </c>
      <c r="P20" s="41">
        <f t="shared" si="3"/>
        <v>0</v>
      </c>
      <c r="Q20" s="41">
        <f t="shared" si="4"/>
        <v>0</v>
      </c>
      <c r="R20" s="59"/>
      <c r="S20" s="59"/>
      <c r="T20" s="42"/>
      <c r="U20" s="59"/>
      <c r="V20" s="57">
        <f t="shared" si="5"/>
        <v>0</v>
      </c>
      <c r="W20" s="61">
        <f t="shared" si="12"/>
        <v>0</v>
      </c>
      <c r="X20" s="59"/>
      <c r="Y20" s="59"/>
      <c r="Z20" s="62"/>
      <c r="AA20" s="62"/>
      <c r="AB20" s="62"/>
      <c r="AC20" s="62"/>
      <c r="AD20" s="62"/>
      <c r="AE20" s="44"/>
      <c r="AF20" s="35" t="str">
        <f t="shared" si="13"/>
        <v>#DIV/0!</v>
      </c>
      <c r="AG20" s="59"/>
      <c r="AH20" s="59"/>
      <c r="AI20" s="44"/>
      <c r="AJ20" s="36" t="str">
        <f>AA20/O20</f>
        <v>#DIV/0!</v>
      </c>
      <c r="AK20" s="36" t="str">
        <f>AB20/O20</f>
        <v>#DIV/0!</v>
      </c>
      <c r="AL20" s="36" t="str">
        <f>AC20/O20</f>
        <v>#DIV/0!</v>
      </c>
      <c r="AM20" s="36" t="str">
        <f>AD20/O20</f>
        <v>#DIV/0!</v>
      </c>
      <c r="AN20" s="36" t="str">
        <f>AE20/O20</f>
        <v>#DIV/0!</v>
      </c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40"/>
    </row>
    <row r="21">
      <c r="A21" s="28" t="s">
        <v>32</v>
      </c>
      <c r="B21" s="29" t="s">
        <v>42</v>
      </c>
      <c r="C21" s="30">
        <v>1.0</v>
      </c>
      <c r="D21" s="29" t="s">
        <v>78</v>
      </c>
      <c r="E21" s="31" t="s">
        <v>95</v>
      </c>
      <c r="F21" s="28" t="s">
        <v>98</v>
      </c>
      <c r="G21" s="28"/>
      <c r="H21" s="28"/>
      <c r="I21" s="28" t="s">
        <v>99</v>
      </c>
      <c r="J21" s="63" t="s">
        <v>97</v>
      </c>
      <c r="K21" s="59"/>
      <c r="L21" s="59"/>
      <c r="M21" s="59"/>
      <c r="N21" s="59"/>
      <c r="O21" s="60">
        <f t="shared" si="2"/>
        <v>0</v>
      </c>
      <c r="P21" s="41">
        <f t="shared" si="3"/>
        <v>0</v>
      </c>
      <c r="Q21" s="41">
        <f t="shared" si="4"/>
        <v>0</v>
      </c>
      <c r="R21" s="59"/>
      <c r="S21" s="59"/>
      <c r="T21" s="42"/>
      <c r="U21" s="59"/>
      <c r="V21" s="57">
        <f t="shared" si="5"/>
        <v>0</v>
      </c>
      <c r="W21" s="61">
        <f t="shared" si="12"/>
        <v>0</v>
      </c>
      <c r="X21" s="59"/>
      <c r="Y21" s="59"/>
      <c r="Z21" s="62"/>
      <c r="AA21" s="62"/>
      <c r="AB21" s="62"/>
      <c r="AC21" s="62"/>
      <c r="AD21" s="62"/>
      <c r="AE21" s="62"/>
      <c r="AF21" s="35">
        <f t="shared" si="13"/>
        <v>67829.45736</v>
      </c>
      <c r="AG21" s="59"/>
      <c r="AH21" s="59"/>
      <c r="AI21" s="44"/>
      <c r="AJ21" s="38">
        <v>7751.937984496124</v>
      </c>
      <c r="AK21" s="38">
        <v>13565.891472868218</v>
      </c>
      <c r="AL21" s="38">
        <v>17441.86046511628</v>
      </c>
      <c r="AM21" s="38">
        <v>15503.875968992248</v>
      </c>
      <c r="AN21" s="38">
        <v>13565.891472868218</v>
      </c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40"/>
    </row>
    <row r="22">
      <c r="A22" s="28" t="s">
        <v>100</v>
      </c>
      <c r="B22" s="29" t="s">
        <v>101</v>
      </c>
      <c r="C22" s="30">
        <v>1.0</v>
      </c>
      <c r="D22" s="29" t="s">
        <v>102</v>
      </c>
      <c r="E22" s="45"/>
      <c r="F22" s="28" t="s">
        <v>103</v>
      </c>
      <c r="G22" s="28"/>
      <c r="H22" s="28"/>
      <c r="I22" s="28" t="s">
        <v>104</v>
      </c>
      <c r="J22" s="64" t="s">
        <v>105</v>
      </c>
      <c r="K22" s="59"/>
      <c r="L22" s="59"/>
      <c r="M22" s="59"/>
      <c r="N22" s="59"/>
      <c r="O22" s="65"/>
      <c r="P22" s="66"/>
      <c r="Q22" s="40"/>
      <c r="R22" s="59"/>
      <c r="S22" s="59"/>
      <c r="T22" s="42"/>
      <c r="U22" s="59"/>
      <c r="V22" s="67"/>
      <c r="W22" s="62"/>
      <c r="X22" s="59"/>
      <c r="Y22" s="59"/>
      <c r="Z22" s="62"/>
      <c r="AA22" s="62"/>
      <c r="AB22" s="62"/>
      <c r="AC22" s="62"/>
      <c r="AD22" s="62"/>
      <c r="AE22" s="62"/>
      <c r="AF22" s="44"/>
      <c r="AG22" s="59"/>
      <c r="AH22" s="59"/>
      <c r="AI22" s="44"/>
      <c r="AJ22" s="44"/>
      <c r="AK22" s="44"/>
      <c r="AL22" s="44"/>
      <c r="AM22" s="44"/>
      <c r="AN22" s="44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40"/>
    </row>
    <row r="23">
      <c r="A23" s="28" t="s">
        <v>100</v>
      </c>
      <c r="B23" s="29" t="s">
        <v>101</v>
      </c>
      <c r="C23" s="30">
        <v>1.0</v>
      </c>
      <c r="D23" s="29" t="s">
        <v>102</v>
      </c>
      <c r="E23" s="45"/>
      <c r="F23" s="28" t="s">
        <v>103</v>
      </c>
      <c r="G23" s="28"/>
      <c r="H23" s="28"/>
      <c r="I23" s="28" t="s">
        <v>106</v>
      </c>
      <c r="J23" s="64" t="s">
        <v>105</v>
      </c>
      <c r="K23" s="59"/>
      <c r="L23" s="59"/>
      <c r="M23" s="59"/>
      <c r="N23" s="59"/>
      <c r="O23" s="65"/>
      <c r="P23" s="66"/>
      <c r="Q23" s="40"/>
      <c r="R23" s="59"/>
      <c r="S23" s="59"/>
      <c r="T23" s="42"/>
      <c r="U23" s="59"/>
      <c r="V23" s="67"/>
      <c r="W23" s="62"/>
      <c r="X23" s="59"/>
      <c r="Y23" s="59"/>
      <c r="Z23" s="62"/>
      <c r="AA23" s="62"/>
      <c r="AB23" s="62"/>
      <c r="AC23" s="62"/>
      <c r="AD23" s="62"/>
      <c r="AE23" s="62"/>
      <c r="AF23" s="44"/>
      <c r="AG23" s="59"/>
      <c r="AH23" s="59"/>
      <c r="AI23" s="44"/>
      <c r="AJ23" s="44"/>
      <c r="AK23" s="44"/>
      <c r="AL23" s="44"/>
      <c r="AM23" s="44"/>
      <c r="AN23" s="44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40"/>
    </row>
    <row r="24">
      <c r="A24" s="28" t="s">
        <v>100</v>
      </c>
      <c r="B24" s="29" t="s">
        <v>101</v>
      </c>
      <c r="C24" s="30">
        <v>1.0</v>
      </c>
      <c r="D24" s="29" t="s">
        <v>102</v>
      </c>
      <c r="E24" s="45"/>
      <c r="F24" s="28" t="s">
        <v>103</v>
      </c>
      <c r="G24" s="28"/>
      <c r="H24" s="28"/>
      <c r="I24" s="28" t="s">
        <v>107</v>
      </c>
      <c r="J24" s="64" t="s">
        <v>105</v>
      </c>
      <c r="K24" s="59"/>
      <c r="L24" s="59"/>
      <c r="M24" s="59"/>
      <c r="N24" s="59"/>
      <c r="O24" s="65"/>
      <c r="P24" s="66"/>
      <c r="Q24" s="40"/>
      <c r="R24" s="59"/>
      <c r="S24" s="59"/>
      <c r="T24" s="42"/>
      <c r="U24" s="59"/>
      <c r="V24" s="67"/>
      <c r="W24" s="62"/>
      <c r="X24" s="59"/>
      <c r="Y24" s="59"/>
      <c r="Z24" s="62"/>
      <c r="AA24" s="62"/>
      <c r="AB24" s="62"/>
      <c r="AC24" s="62"/>
      <c r="AD24" s="62"/>
      <c r="AE24" s="62"/>
      <c r="AF24" s="44"/>
      <c r="AG24" s="59"/>
      <c r="AH24" s="59"/>
      <c r="AI24" s="44"/>
      <c r="AJ24" s="44"/>
      <c r="AK24" s="44"/>
      <c r="AL24" s="44"/>
      <c r="AM24" s="44"/>
      <c r="AN24" s="44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40"/>
    </row>
    <row r="25">
      <c r="A25" s="28" t="s">
        <v>68</v>
      </c>
      <c r="B25" s="29" t="s">
        <v>33</v>
      </c>
      <c r="C25" s="30">
        <v>3.0</v>
      </c>
      <c r="D25" s="29" t="s">
        <v>102</v>
      </c>
      <c r="E25" s="45"/>
      <c r="F25" s="28" t="s">
        <v>36</v>
      </c>
      <c r="G25" s="28"/>
      <c r="H25" s="28"/>
      <c r="I25" s="28" t="s">
        <v>108</v>
      </c>
      <c r="J25" s="64" t="s">
        <v>105</v>
      </c>
      <c r="K25" s="59"/>
      <c r="L25" s="59"/>
      <c r="M25" s="59"/>
      <c r="N25" s="59"/>
      <c r="O25" s="60">
        <f t="shared" ref="O25:O27" si="14">N25*120/100</f>
        <v>0</v>
      </c>
      <c r="P25" s="41">
        <f t="shared" ref="P25:P27" si="15">O25*0.72</f>
        <v>0</v>
      </c>
      <c r="Q25" s="41">
        <f t="shared" ref="Q25:Q27" si="16">P25-S25</f>
        <v>0</v>
      </c>
      <c r="R25" s="59"/>
      <c r="S25" s="59"/>
      <c r="T25" s="42"/>
      <c r="U25" s="59"/>
      <c r="V25" s="57">
        <f t="shared" ref="V25:V27" si="17">W25*U25%</f>
        <v>0</v>
      </c>
      <c r="W25" s="61">
        <f t="shared" ref="W25:W27" si="18">SUM(X25:AN25)</f>
        <v>40000</v>
      </c>
      <c r="X25" s="59"/>
      <c r="Y25" s="59"/>
      <c r="Z25" s="62"/>
      <c r="AA25" s="62"/>
      <c r="AB25" s="62"/>
      <c r="AC25" s="62"/>
      <c r="AD25" s="62"/>
      <c r="AE25" s="62"/>
      <c r="AF25" s="35">
        <f t="shared" ref="AF25:AF27" si="19">SUM(AG25:AN25)</f>
        <v>20000</v>
      </c>
      <c r="AG25" s="59"/>
      <c r="AH25" s="59"/>
      <c r="AI25" s="44"/>
      <c r="AJ25" s="44"/>
      <c r="AK25" s="38">
        <v>2000.0</v>
      </c>
      <c r="AL25" s="38">
        <v>4000.0</v>
      </c>
      <c r="AM25" s="38">
        <v>6000.0</v>
      </c>
      <c r="AN25" s="38">
        <v>8000.0</v>
      </c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40"/>
    </row>
    <row r="26">
      <c r="A26" s="28" t="s">
        <v>68</v>
      </c>
      <c r="B26" s="29" t="s">
        <v>33</v>
      </c>
      <c r="C26" s="30">
        <v>3.0</v>
      </c>
      <c r="D26" s="29" t="s">
        <v>102</v>
      </c>
      <c r="E26" s="45"/>
      <c r="F26" s="28" t="s">
        <v>98</v>
      </c>
      <c r="G26" s="28"/>
      <c r="H26" s="28"/>
      <c r="I26" s="28" t="s">
        <v>109</v>
      </c>
      <c r="J26" s="64" t="s">
        <v>105</v>
      </c>
      <c r="K26" s="40"/>
      <c r="L26" s="40"/>
      <c r="M26" s="40"/>
      <c r="N26" s="40"/>
      <c r="O26" s="41">
        <f t="shared" si="14"/>
        <v>0</v>
      </c>
      <c r="P26" s="41">
        <f t="shared" si="15"/>
        <v>0</v>
      </c>
      <c r="Q26" s="41">
        <f t="shared" si="16"/>
        <v>0</v>
      </c>
      <c r="R26" s="40"/>
      <c r="S26" s="40"/>
      <c r="T26" s="42"/>
      <c r="U26" s="40"/>
      <c r="V26" s="68" t="str">
        <f t="shared" si="17"/>
        <v>#DIV/0!</v>
      </c>
      <c r="W26" s="61" t="str">
        <f t="shared" si="18"/>
        <v>#DIV/0!</v>
      </c>
      <c r="X26" s="40"/>
      <c r="Y26" s="40"/>
      <c r="Z26" s="40"/>
      <c r="AA26" s="44"/>
      <c r="AB26" s="44"/>
      <c r="AC26" s="44"/>
      <c r="AD26" s="44"/>
      <c r="AE26" s="44"/>
      <c r="AF26" s="35" t="str">
        <f t="shared" si="19"/>
        <v>#DIV/0!</v>
      </c>
      <c r="AG26" s="40"/>
      <c r="AH26" s="40"/>
      <c r="AI26" s="40"/>
      <c r="AJ26" s="38">
        <v>2000.0</v>
      </c>
      <c r="AK26" s="36" t="str">
        <f t="shared" ref="AK26:AK27" si="20">AB26/O26</f>
        <v>#DIV/0!</v>
      </c>
      <c r="AL26" s="36" t="str">
        <f t="shared" ref="AL26:AL27" si="21">AC26/O26</f>
        <v>#DIV/0!</v>
      </c>
      <c r="AM26" s="36" t="str">
        <f t="shared" ref="AM26:AM27" si="22">AD26/O26</f>
        <v>#DIV/0!</v>
      </c>
      <c r="AN26" s="36" t="str">
        <f t="shared" ref="AN26:AN27" si="23">AE26/O26</f>
        <v>#DIV/0!</v>
      </c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</row>
    <row r="27">
      <c r="A27" s="28" t="s">
        <v>68</v>
      </c>
      <c r="B27" s="29" t="s">
        <v>33</v>
      </c>
      <c r="C27" s="30">
        <v>1.0</v>
      </c>
      <c r="D27" s="29" t="s">
        <v>102</v>
      </c>
      <c r="E27" s="45"/>
      <c r="F27" s="28" t="s">
        <v>36</v>
      </c>
      <c r="G27" s="28"/>
      <c r="H27" s="28"/>
      <c r="I27" s="28" t="s">
        <v>110</v>
      </c>
      <c r="J27" s="64" t="s">
        <v>105</v>
      </c>
      <c r="K27" s="40"/>
      <c r="L27" s="40"/>
      <c r="M27" s="40"/>
      <c r="N27" s="40"/>
      <c r="O27" s="41">
        <f t="shared" si="14"/>
        <v>0</v>
      </c>
      <c r="P27" s="41">
        <f t="shared" si="15"/>
        <v>0</v>
      </c>
      <c r="Q27" s="41">
        <f t="shared" si="16"/>
        <v>0</v>
      </c>
      <c r="R27" s="40"/>
      <c r="S27" s="40"/>
      <c r="T27" s="42"/>
      <c r="U27" s="40"/>
      <c r="V27" s="68" t="str">
        <f t="shared" si="17"/>
        <v>#DIV/0!</v>
      </c>
      <c r="W27" s="61" t="str">
        <f t="shared" si="18"/>
        <v>#DIV/0!</v>
      </c>
      <c r="X27" s="40"/>
      <c r="Y27" s="40"/>
      <c r="Z27" s="40"/>
      <c r="AA27" s="44"/>
      <c r="AB27" s="44"/>
      <c r="AC27" s="44"/>
      <c r="AD27" s="44"/>
      <c r="AE27" s="44"/>
      <c r="AF27" s="35" t="str">
        <f t="shared" si="19"/>
        <v>#DIV/0!</v>
      </c>
      <c r="AG27" s="40"/>
      <c r="AH27" s="40"/>
      <c r="AI27" s="40"/>
      <c r="AJ27" s="38">
        <v>3000.0</v>
      </c>
      <c r="AK27" s="36" t="str">
        <f t="shared" si="20"/>
        <v>#DIV/0!</v>
      </c>
      <c r="AL27" s="36" t="str">
        <f t="shared" si="21"/>
        <v>#DIV/0!</v>
      </c>
      <c r="AM27" s="36" t="str">
        <f t="shared" si="22"/>
        <v>#DIV/0!</v>
      </c>
      <c r="AN27" s="36" t="str">
        <f t="shared" si="23"/>
        <v>#DIV/0!</v>
      </c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</row>
    <row r="28">
      <c r="A28" s="28" t="s">
        <v>68</v>
      </c>
      <c r="B28" s="29" t="s">
        <v>33</v>
      </c>
      <c r="C28" s="30">
        <v>1.0</v>
      </c>
      <c r="D28" s="29" t="s">
        <v>102</v>
      </c>
      <c r="E28" s="45"/>
      <c r="F28" s="28" t="s">
        <v>111</v>
      </c>
      <c r="G28" s="28"/>
      <c r="H28" s="28"/>
      <c r="I28" s="28" t="s">
        <v>112</v>
      </c>
      <c r="J28" s="64" t="s">
        <v>105</v>
      </c>
      <c r="K28" s="40"/>
      <c r="L28" s="40"/>
      <c r="M28" s="40"/>
      <c r="N28" s="40"/>
      <c r="O28" s="66"/>
      <c r="P28" s="66"/>
      <c r="Q28" s="40"/>
      <c r="R28" s="40"/>
      <c r="S28" s="40"/>
      <c r="T28" s="42"/>
      <c r="U28" s="40"/>
      <c r="V28" s="44"/>
      <c r="W28" s="62"/>
      <c r="X28" s="40"/>
      <c r="Y28" s="40"/>
      <c r="Z28" s="40"/>
      <c r="AA28" s="44"/>
      <c r="AB28" s="44"/>
      <c r="AC28" s="44"/>
      <c r="AD28" s="44"/>
      <c r="AE28" s="44"/>
      <c r="AF28" s="44"/>
      <c r="AG28" s="40"/>
      <c r="AH28" s="40"/>
      <c r="AI28" s="40"/>
      <c r="AJ28" s="44"/>
      <c r="AK28" s="44"/>
      <c r="AL28" s="44"/>
      <c r="AM28" s="44"/>
      <c r="AN28" s="44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</row>
    <row r="29">
      <c r="A29" s="28" t="s">
        <v>68</v>
      </c>
      <c r="B29" s="45"/>
      <c r="C29" s="30">
        <v>1.0</v>
      </c>
      <c r="D29" s="29" t="s">
        <v>102</v>
      </c>
      <c r="E29" s="45"/>
      <c r="F29" s="28" t="s">
        <v>36</v>
      </c>
      <c r="G29" s="28"/>
      <c r="H29" s="28"/>
      <c r="I29" s="28" t="s">
        <v>113</v>
      </c>
      <c r="J29" s="64" t="s">
        <v>105</v>
      </c>
      <c r="K29" s="40"/>
      <c r="L29" s="40"/>
      <c r="M29" s="40"/>
      <c r="N29" s="40"/>
      <c r="O29" s="66"/>
      <c r="P29" s="66"/>
      <c r="Q29" s="40"/>
      <c r="R29" s="40"/>
      <c r="S29" s="40"/>
      <c r="T29" s="42"/>
      <c r="U29" s="40"/>
      <c r="V29" s="44"/>
      <c r="W29" s="62"/>
      <c r="X29" s="40"/>
      <c r="Y29" s="40"/>
      <c r="Z29" s="40"/>
      <c r="AA29" s="44"/>
      <c r="AB29" s="44"/>
      <c r="AC29" s="44"/>
      <c r="AD29" s="44"/>
      <c r="AE29" s="44"/>
      <c r="AF29" s="44"/>
      <c r="AG29" s="40"/>
      <c r="AH29" s="40"/>
      <c r="AI29" s="40"/>
      <c r="AJ29" s="44"/>
      <c r="AK29" s="44"/>
      <c r="AL29" s="44"/>
      <c r="AM29" s="44"/>
      <c r="AN29" s="44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</row>
    <row r="30">
      <c r="A30" s="28" t="s">
        <v>68</v>
      </c>
      <c r="B30" s="45"/>
      <c r="C30" s="30">
        <v>1.0</v>
      </c>
      <c r="D30" s="29" t="s">
        <v>102</v>
      </c>
      <c r="E30" s="28"/>
      <c r="F30" s="28" t="s">
        <v>36</v>
      </c>
      <c r="G30" s="28"/>
      <c r="H30" s="28"/>
      <c r="I30" s="28" t="s">
        <v>114</v>
      </c>
      <c r="J30" s="64" t="s">
        <v>105</v>
      </c>
      <c r="K30" s="40"/>
      <c r="L30" s="40"/>
      <c r="M30" s="40"/>
      <c r="N30" s="40"/>
      <c r="O30" s="66"/>
      <c r="P30" s="66"/>
      <c r="Q30" s="40"/>
      <c r="R30" s="40"/>
      <c r="S30" s="40"/>
      <c r="T30" s="42"/>
      <c r="U30" s="40"/>
      <c r="V30" s="44"/>
      <c r="W30" s="62"/>
      <c r="X30" s="40"/>
      <c r="Y30" s="40"/>
      <c r="Z30" s="40"/>
      <c r="AA30" s="44"/>
      <c r="AB30" s="44"/>
      <c r="AC30" s="44"/>
      <c r="AD30" s="44"/>
      <c r="AE30" s="44"/>
      <c r="AF30" s="44"/>
      <c r="AG30" s="40"/>
      <c r="AH30" s="40"/>
      <c r="AI30" s="40"/>
      <c r="AJ30" s="44"/>
      <c r="AK30" s="44"/>
      <c r="AL30" s="44"/>
      <c r="AM30" s="44"/>
      <c r="AN30" s="44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</row>
    <row r="31">
      <c r="A31" s="28" t="s">
        <v>68</v>
      </c>
      <c r="B31" s="29" t="s">
        <v>33</v>
      </c>
      <c r="C31" s="30">
        <v>1.0</v>
      </c>
      <c r="D31" s="29" t="s">
        <v>102</v>
      </c>
      <c r="E31" s="69" t="s">
        <v>105</v>
      </c>
      <c r="F31" s="28" t="s">
        <v>36</v>
      </c>
      <c r="G31" s="28"/>
      <c r="H31" s="28"/>
      <c r="I31" s="28" t="s">
        <v>115</v>
      </c>
      <c r="J31" s="40"/>
      <c r="K31" s="40"/>
      <c r="L31" s="40"/>
      <c r="M31" s="40"/>
      <c r="N31" s="40"/>
      <c r="O31" s="66"/>
      <c r="P31" s="66"/>
      <c r="Q31" s="40"/>
      <c r="R31" s="40"/>
      <c r="S31" s="40"/>
      <c r="T31" s="42"/>
      <c r="U31" s="40"/>
      <c r="V31" s="44"/>
      <c r="W31" s="62"/>
      <c r="X31" s="40"/>
      <c r="Y31" s="40"/>
      <c r="Z31" s="40"/>
      <c r="AA31" s="44"/>
      <c r="AB31" s="44"/>
      <c r="AC31" s="44"/>
      <c r="AD31" s="44"/>
      <c r="AE31" s="44"/>
      <c r="AF31" s="44"/>
      <c r="AG31" s="40"/>
      <c r="AH31" s="40"/>
      <c r="AI31" s="40"/>
      <c r="AJ31" s="44"/>
      <c r="AK31" s="44"/>
      <c r="AL31" s="44"/>
      <c r="AM31" s="44"/>
      <c r="AN31" s="44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</row>
    <row r="32">
      <c r="A32" s="28" t="s">
        <v>68</v>
      </c>
      <c r="B32" s="29" t="s">
        <v>33</v>
      </c>
      <c r="C32" s="30">
        <v>1.0</v>
      </c>
      <c r="D32" s="29" t="s">
        <v>69</v>
      </c>
      <c r="E32" s="32" t="s">
        <v>116</v>
      </c>
      <c r="F32" s="28" t="s">
        <v>36</v>
      </c>
      <c r="G32" s="28"/>
      <c r="H32" s="28"/>
      <c r="I32" s="28" t="s">
        <v>72</v>
      </c>
      <c r="J32" s="70" t="s">
        <v>117</v>
      </c>
      <c r="K32" s="40"/>
      <c r="L32" s="40"/>
      <c r="M32" s="40"/>
      <c r="N32" s="40"/>
      <c r="O32" s="41">
        <f t="shared" ref="O32:O61" si="24">N32*120/100</f>
        <v>0</v>
      </c>
      <c r="P32" s="41">
        <f t="shared" ref="P32:P61" si="25">O32*0.72</f>
        <v>0</v>
      </c>
      <c r="Q32" s="41">
        <f t="shared" ref="Q32:Q61" si="26">P32-S32</f>
        <v>0</v>
      </c>
      <c r="R32" s="40"/>
      <c r="S32" s="40"/>
      <c r="T32" s="42"/>
      <c r="U32" s="40"/>
      <c r="V32" s="38">
        <f t="shared" ref="V32:V38" si="27">W32*U32%</f>
        <v>0</v>
      </c>
      <c r="W32" s="61">
        <f>SUM(X32:AN32)</f>
        <v>0</v>
      </c>
      <c r="X32" s="40"/>
      <c r="Y32" s="40"/>
      <c r="Z32" s="40"/>
      <c r="AA32" s="44"/>
      <c r="AB32" s="44"/>
      <c r="AC32" s="44"/>
      <c r="AD32" s="44"/>
      <c r="AE32" s="44"/>
      <c r="AF32" s="35">
        <f t="shared" ref="AF32:AF61" si="28">SUM(AG32:AN32)</f>
        <v>0</v>
      </c>
      <c r="AG32" s="40"/>
      <c r="AH32" s="40"/>
      <c r="AI32" s="40"/>
      <c r="AJ32" s="44"/>
      <c r="AK32" s="44"/>
      <c r="AL32" s="44"/>
      <c r="AM32" s="44"/>
      <c r="AN32" s="44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</row>
    <row r="33">
      <c r="A33" s="28" t="s">
        <v>68</v>
      </c>
      <c r="B33" s="29" t="s">
        <v>33</v>
      </c>
      <c r="C33" s="30">
        <v>1.0</v>
      </c>
      <c r="D33" s="29" t="s">
        <v>69</v>
      </c>
      <c r="E33" s="32" t="s">
        <v>116</v>
      </c>
      <c r="F33" s="28" t="s">
        <v>98</v>
      </c>
      <c r="G33" s="28"/>
      <c r="H33" s="28"/>
      <c r="I33" s="28" t="s">
        <v>114</v>
      </c>
      <c r="J33" s="70" t="s">
        <v>117</v>
      </c>
      <c r="K33" s="40"/>
      <c r="L33" s="40"/>
      <c r="M33" s="40"/>
      <c r="N33" s="40"/>
      <c r="O33" s="48">
        <f t="shared" si="24"/>
        <v>0</v>
      </c>
      <c r="P33" s="49">
        <f t="shared" si="25"/>
        <v>0</v>
      </c>
      <c r="Q33" s="49">
        <f t="shared" si="26"/>
        <v>0</v>
      </c>
      <c r="R33" s="40"/>
      <c r="S33" s="40"/>
      <c r="T33" s="71">
        <v>0.0</v>
      </c>
      <c r="U33" s="59"/>
      <c r="V33" s="38">
        <f t="shared" si="27"/>
        <v>0</v>
      </c>
      <c r="W33" s="72">
        <f t="shared" ref="W33:W61" si="29">SUM(X33:AE33)</f>
        <v>0</v>
      </c>
      <c r="X33" s="40"/>
      <c r="Y33" s="40"/>
      <c r="Z33" s="40"/>
      <c r="AA33" s="62"/>
      <c r="AB33" s="62"/>
      <c r="AC33" s="62"/>
      <c r="AD33" s="62"/>
      <c r="AE33" s="62"/>
      <c r="AF33" s="35">
        <f t="shared" si="28"/>
        <v>0</v>
      </c>
      <c r="AG33" s="40"/>
      <c r="AH33" s="40"/>
      <c r="AI33" s="44"/>
      <c r="AJ33" s="44"/>
      <c r="AK33" s="44"/>
      <c r="AL33" s="44"/>
      <c r="AM33" s="44"/>
      <c r="AN33" s="44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</row>
    <row r="34">
      <c r="A34" s="28" t="s">
        <v>68</v>
      </c>
      <c r="B34" s="29" t="s">
        <v>33</v>
      </c>
      <c r="C34" s="30">
        <v>1.0</v>
      </c>
      <c r="D34" s="29" t="s">
        <v>69</v>
      </c>
      <c r="E34" s="32" t="s">
        <v>118</v>
      </c>
      <c r="F34" s="28" t="s">
        <v>98</v>
      </c>
      <c r="G34" s="28"/>
      <c r="H34" s="28"/>
      <c r="I34" s="28" t="s">
        <v>119</v>
      </c>
      <c r="J34" s="70" t="s">
        <v>117</v>
      </c>
      <c r="K34" s="40"/>
      <c r="L34" s="40"/>
      <c r="M34" s="40"/>
      <c r="N34" s="40"/>
      <c r="O34" s="48">
        <f t="shared" si="24"/>
        <v>0</v>
      </c>
      <c r="P34" s="49">
        <f t="shared" si="25"/>
        <v>0</v>
      </c>
      <c r="Q34" s="49">
        <f t="shared" si="26"/>
        <v>0</v>
      </c>
      <c r="R34" s="40"/>
      <c r="S34" s="40"/>
      <c r="T34" s="42"/>
      <c r="U34" s="40"/>
      <c r="V34" s="38">
        <f t="shared" si="27"/>
        <v>0</v>
      </c>
      <c r="W34" s="72">
        <f t="shared" si="29"/>
        <v>0</v>
      </c>
      <c r="X34" s="40"/>
      <c r="Y34" s="40"/>
      <c r="Z34" s="62"/>
      <c r="AA34" s="62"/>
      <c r="AB34" s="62"/>
      <c r="AC34" s="62"/>
      <c r="AD34" s="62"/>
      <c r="AE34" s="62"/>
      <c r="AF34" s="35">
        <f t="shared" si="28"/>
        <v>0</v>
      </c>
      <c r="AG34" s="40"/>
      <c r="AH34" s="40"/>
      <c r="AI34" s="44"/>
      <c r="AJ34" s="44"/>
      <c r="AK34" s="44"/>
      <c r="AL34" s="44"/>
      <c r="AM34" s="44"/>
      <c r="AN34" s="44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</row>
    <row r="35">
      <c r="A35" s="28" t="s">
        <v>32</v>
      </c>
      <c r="B35" s="29" t="s">
        <v>42</v>
      </c>
      <c r="C35" s="30">
        <v>1.0</v>
      </c>
      <c r="D35" s="31" t="s">
        <v>66</v>
      </c>
      <c r="E35" s="32" t="s">
        <v>120</v>
      </c>
      <c r="F35" s="28" t="s">
        <v>36</v>
      </c>
      <c r="G35" s="28"/>
      <c r="H35" s="32">
        <v>7000.0</v>
      </c>
      <c r="I35" s="32" t="s">
        <v>121</v>
      </c>
      <c r="J35" s="13" t="s">
        <v>122</v>
      </c>
      <c r="K35" s="50" t="s">
        <v>123</v>
      </c>
      <c r="L35" s="50"/>
      <c r="M35" s="50">
        <v>133.0</v>
      </c>
      <c r="N35" s="40"/>
      <c r="O35" s="48">
        <f t="shared" si="24"/>
        <v>0</v>
      </c>
      <c r="P35" s="49">
        <f t="shared" si="25"/>
        <v>0</v>
      </c>
      <c r="Q35" s="49">
        <f t="shared" si="26"/>
        <v>0</v>
      </c>
      <c r="R35" s="40"/>
      <c r="S35" s="40"/>
      <c r="T35" s="42"/>
      <c r="U35" s="40"/>
      <c r="V35" s="38">
        <f t="shared" si="27"/>
        <v>0</v>
      </c>
      <c r="W35" s="73">
        <f t="shared" si="29"/>
        <v>0</v>
      </c>
      <c r="X35" s="40"/>
      <c r="Y35" s="40"/>
      <c r="Z35" s="44"/>
      <c r="AA35" s="44"/>
      <c r="AB35" s="44"/>
      <c r="AC35" s="44"/>
      <c r="AD35" s="44"/>
      <c r="AE35" s="44"/>
      <c r="AF35" s="35">
        <f t="shared" si="28"/>
        <v>0</v>
      </c>
      <c r="AG35" s="40"/>
      <c r="AH35" s="40"/>
      <c r="AI35" s="44"/>
      <c r="AJ35" s="44"/>
      <c r="AK35" s="44"/>
      <c r="AL35" s="44"/>
      <c r="AM35" s="44"/>
      <c r="AN35" s="44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</row>
    <row r="36">
      <c r="A36" s="28" t="s">
        <v>68</v>
      </c>
      <c r="B36" s="29" t="s">
        <v>42</v>
      </c>
      <c r="C36" s="30">
        <v>3.0</v>
      </c>
      <c r="D36" s="29" t="s">
        <v>78</v>
      </c>
      <c r="E36" s="58" t="s">
        <v>124</v>
      </c>
      <c r="F36" s="28" t="s">
        <v>98</v>
      </c>
      <c r="G36" s="28"/>
      <c r="H36" s="28"/>
      <c r="I36" s="28" t="s">
        <v>125</v>
      </c>
      <c r="J36" s="13" t="s">
        <v>77</v>
      </c>
      <c r="K36" s="40"/>
      <c r="L36" s="40"/>
      <c r="M36" s="40"/>
      <c r="N36" s="40"/>
      <c r="O36" s="48">
        <f t="shared" si="24"/>
        <v>0</v>
      </c>
      <c r="P36" s="49">
        <f t="shared" si="25"/>
        <v>0</v>
      </c>
      <c r="Q36" s="49">
        <f t="shared" si="26"/>
        <v>0</v>
      </c>
      <c r="R36" s="40"/>
      <c r="S36" s="40"/>
      <c r="T36" s="42"/>
      <c r="U36" s="40"/>
      <c r="V36" s="38">
        <f t="shared" si="27"/>
        <v>0</v>
      </c>
      <c r="W36" s="73">
        <f t="shared" si="29"/>
        <v>0</v>
      </c>
      <c r="X36" s="40"/>
      <c r="Y36" s="40"/>
      <c r="Z36" s="40"/>
      <c r="AA36" s="40"/>
      <c r="AB36" s="40"/>
      <c r="AC36" s="40"/>
      <c r="AD36" s="62"/>
      <c r="AE36" s="62"/>
      <c r="AF36" s="35">
        <f t="shared" si="28"/>
        <v>0</v>
      </c>
      <c r="AG36" s="40"/>
      <c r="AH36" s="40"/>
      <c r="AI36" s="44"/>
      <c r="AJ36" s="44"/>
      <c r="AK36" s="44"/>
      <c r="AL36" s="44"/>
      <c r="AM36" s="44"/>
      <c r="AN36" s="44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</row>
    <row r="37">
      <c r="A37" s="28" t="s">
        <v>68</v>
      </c>
      <c r="B37" s="29" t="s">
        <v>42</v>
      </c>
      <c r="C37" s="30">
        <v>3.0</v>
      </c>
      <c r="D37" s="29" t="s">
        <v>53</v>
      </c>
      <c r="E37" s="32" t="s">
        <v>54</v>
      </c>
      <c r="F37" s="28" t="s">
        <v>98</v>
      </c>
      <c r="G37" s="28"/>
      <c r="H37" s="32">
        <v>7000.0</v>
      </c>
      <c r="I37" s="28" t="s">
        <v>114</v>
      </c>
      <c r="J37" s="13" t="s">
        <v>77</v>
      </c>
      <c r="K37" s="40"/>
      <c r="L37" s="40"/>
      <c r="M37" s="50">
        <v>130.0</v>
      </c>
      <c r="N37" s="40"/>
      <c r="O37" s="48">
        <f t="shared" si="24"/>
        <v>0</v>
      </c>
      <c r="P37" s="49">
        <f t="shared" si="25"/>
        <v>0</v>
      </c>
      <c r="Q37" s="49">
        <f t="shared" si="26"/>
        <v>0</v>
      </c>
      <c r="R37" s="40"/>
      <c r="S37" s="40"/>
      <c r="T37" s="42"/>
      <c r="U37" s="40"/>
      <c r="V37" s="38">
        <f t="shared" si="27"/>
        <v>0</v>
      </c>
      <c r="W37" s="73">
        <f t="shared" si="29"/>
        <v>0</v>
      </c>
      <c r="X37" s="40"/>
      <c r="Y37" s="40"/>
      <c r="Z37" s="40"/>
      <c r="AA37" s="40"/>
      <c r="AB37" s="40"/>
      <c r="AC37" s="40"/>
      <c r="AD37" s="62"/>
      <c r="AE37" s="62"/>
      <c r="AF37" s="35">
        <f t="shared" si="28"/>
        <v>0</v>
      </c>
      <c r="AG37" s="40"/>
      <c r="AH37" s="40"/>
      <c r="AI37" s="44"/>
      <c r="AJ37" s="44"/>
      <c r="AK37" s="44"/>
      <c r="AL37" s="44"/>
      <c r="AM37" s="44"/>
      <c r="AN37" s="44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</row>
    <row r="38">
      <c r="A38" s="28" t="s">
        <v>68</v>
      </c>
      <c r="B38" s="29" t="s">
        <v>42</v>
      </c>
      <c r="C38" s="30">
        <v>3.0</v>
      </c>
      <c r="D38" s="29" t="s">
        <v>53</v>
      </c>
      <c r="E38" s="32" t="s">
        <v>54</v>
      </c>
      <c r="F38" s="28" t="s">
        <v>98</v>
      </c>
      <c r="G38" s="28"/>
      <c r="H38" s="32">
        <v>7000.0</v>
      </c>
      <c r="I38" s="28" t="s">
        <v>126</v>
      </c>
      <c r="J38" s="13" t="s">
        <v>77</v>
      </c>
      <c r="K38" s="40"/>
      <c r="L38" s="40"/>
      <c r="M38" s="50">
        <v>105.0</v>
      </c>
      <c r="N38" s="40"/>
      <c r="O38" s="48">
        <f t="shared" si="24"/>
        <v>0</v>
      </c>
      <c r="P38" s="49">
        <f t="shared" si="25"/>
        <v>0</v>
      </c>
      <c r="Q38" s="49">
        <f t="shared" si="26"/>
        <v>0</v>
      </c>
      <c r="R38" s="40"/>
      <c r="S38" s="40"/>
      <c r="T38" s="42"/>
      <c r="U38" s="40"/>
      <c r="V38" s="38">
        <f t="shared" si="27"/>
        <v>0</v>
      </c>
      <c r="W38" s="56">
        <f t="shared" si="29"/>
        <v>0</v>
      </c>
      <c r="X38" s="40"/>
      <c r="Y38" s="40"/>
      <c r="Z38" s="40"/>
      <c r="AA38" s="40"/>
      <c r="AB38" s="40"/>
      <c r="AC38" s="40"/>
      <c r="AD38" s="62"/>
      <c r="AE38" s="62"/>
      <c r="AF38" s="35">
        <f t="shared" si="28"/>
        <v>0</v>
      </c>
      <c r="AG38" s="40"/>
      <c r="AH38" s="40"/>
      <c r="AI38" s="44"/>
      <c r="AJ38" s="44"/>
      <c r="AK38" s="44"/>
      <c r="AL38" s="44"/>
      <c r="AM38" s="44"/>
      <c r="AN38" s="44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</row>
    <row r="39">
      <c r="A39" s="28" t="s">
        <v>32</v>
      </c>
      <c r="B39" s="29" t="s">
        <v>33</v>
      </c>
      <c r="C39" s="30">
        <v>1.0</v>
      </c>
      <c r="D39" s="29" t="s">
        <v>58</v>
      </c>
      <c r="E39" s="45"/>
      <c r="F39" s="28" t="s">
        <v>36</v>
      </c>
      <c r="G39" s="28"/>
      <c r="H39" s="28"/>
      <c r="I39" s="28" t="s">
        <v>127</v>
      </c>
      <c r="J39" s="13" t="s">
        <v>128</v>
      </c>
      <c r="K39" s="40"/>
      <c r="L39" s="40"/>
      <c r="M39" s="40"/>
      <c r="N39" s="40"/>
      <c r="O39" s="47">
        <f t="shared" si="24"/>
        <v>0</v>
      </c>
      <c r="P39" s="41">
        <f t="shared" si="25"/>
        <v>0</v>
      </c>
      <c r="Q39" s="41">
        <f t="shared" si="26"/>
        <v>0</v>
      </c>
      <c r="R39" s="40"/>
      <c r="S39" s="40"/>
      <c r="T39" s="42"/>
      <c r="U39" s="74"/>
      <c r="V39" s="38">
        <f t="shared" ref="V39:V43" si="30">W39*U39</f>
        <v>0</v>
      </c>
      <c r="W39" s="56">
        <f t="shared" si="29"/>
        <v>0</v>
      </c>
      <c r="X39" s="62"/>
      <c r="Y39" s="62"/>
      <c r="Z39" s="62"/>
      <c r="AA39" s="62"/>
      <c r="AB39" s="62"/>
      <c r="AC39" s="62"/>
      <c r="AD39" s="62"/>
      <c r="AE39" s="62"/>
      <c r="AF39" s="35">
        <f t="shared" si="28"/>
        <v>0</v>
      </c>
      <c r="AG39" s="44"/>
      <c r="AH39" s="44"/>
      <c r="AI39" s="44"/>
      <c r="AJ39" s="44"/>
      <c r="AK39" s="44"/>
      <c r="AL39" s="44"/>
      <c r="AM39" s="44"/>
      <c r="AN39" s="44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</row>
    <row r="40">
      <c r="A40" s="28" t="s">
        <v>32</v>
      </c>
      <c r="B40" s="29" t="s">
        <v>33</v>
      </c>
      <c r="C40" s="30">
        <v>3.0</v>
      </c>
      <c r="D40" s="29" t="s">
        <v>58</v>
      </c>
      <c r="E40" s="45"/>
      <c r="F40" s="28" t="s">
        <v>36</v>
      </c>
      <c r="G40" s="28"/>
      <c r="H40" s="28"/>
      <c r="I40" s="28" t="s">
        <v>129</v>
      </c>
      <c r="J40" s="13" t="s">
        <v>128</v>
      </c>
      <c r="K40" s="40"/>
      <c r="L40" s="40"/>
      <c r="M40" s="40"/>
      <c r="N40" s="40"/>
      <c r="O40" s="47">
        <f t="shared" si="24"/>
        <v>0</v>
      </c>
      <c r="P40" s="41">
        <f t="shared" si="25"/>
        <v>0</v>
      </c>
      <c r="Q40" s="41">
        <f t="shared" si="26"/>
        <v>0</v>
      </c>
      <c r="R40" s="40"/>
      <c r="S40" s="40"/>
      <c r="T40" s="42"/>
      <c r="U40" s="74"/>
      <c r="V40" s="38">
        <f t="shared" si="30"/>
        <v>0</v>
      </c>
      <c r="W40" s="56">
        <f t="shared" si="29"/>
        <v>0</v>
      </c>
      <c r="X40" s="62"/>
      <c r="Y40" s="62"/>
      <c r="Z40" s="75">
        <f t="shared" ref="Z40:Z41" si="31">AI40*$O40</f>
        <v>0</v>
      </c>
      <c r="AA40" s="62"/>
      <c r="AB40" s="62"/>
      <c r="AC40" s="62"/>
      <c r="AD40" s="62"/>
      <c r="AE40" s="62"/>
      <c r="AF40" s="35">
        <f t="shared" si="28"/>
        <v>0</v>
      </c>
      <c r="AG40" s="44"/>
      <c r="AH40" s="44"/>
      <c r="AI40" s="44"/>
      <c r="AJ40" s="44"/>
      <c r="AK40" s="44"/>
      <c r="AL40" s="44"/>
      <c r="AM40" s="44"/>
      <c r="AN40" s="44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</row>
    <row r="41">
      <c r="A41" s="28" t="s">
        <v>32</v>
      </c>
      <c r="B41" s="29" t="s">
        <v>42</v>
      </c>
      <c r="C41" s="30">
        <v>1.0</v>
      </c>
      <c r="D41" s="29" t="s">
        <v>58</v>
      </c>
      <c r="E41" s="45"/>
      <c r="F41" s="28" t="s">
        <v>36</v>
      </c>
      <c r="G41" s="28"/>
      <c r="H41" s="28"/>
      <c r="I41" s="28" t="s">
        <v>130</v>
      </c>
      <c r="J41" s="13" t="s">
        <v>128</v>
      </c>
      <c r="K41" s="40"/>
      <c r="L41" s="40"/>
      <c r="M41" s="40"/>
      <c r="N41" s="40"/>
      <c r="O41" s="47">
        <f t="shared" si="24"/>
        <v>0</v>
      </c>
      <c r="P41" s="41">
        <f t="shared" si="25"/>
        <v>0</v>
      </c>
      <c r="Q41" s="41">
        <f t="shared" si="26"/>
        <v>0</v>
      </c>
      <c r="R41" s="40"/>
      <c r="S41" s="40"/>
      <c r="T41" s="42"/>
      <c r="U41" s="74"/>
      <c r="V41" s="38">
        <f t="shared" si="30"/>
        <v>0</v>
      </c>
      <c r="W41" s="56">
        <f t="shared" si="29"/>
        <v>0</v>
      </c>
      <c r="X41" s="62"/>
      <c r="Y41" s="62"/>
      <c r="Z41" s="75">
        <f t="shared" si="31"/>
        <v>0</v>
      </c>
      <c r="AA41" s="62"/>
      <c r="AB41" s="62"/>
      <c r="AC41" s="62"/>
      <c r="AD41" s="62"/>
      <c r="AE41" s="62"/>
      <c r="AF41" s="35">
        <f t="shared" si="28"/>
        <v>0</v>
      </c>
      <c r="AG41" s="44"/>
      <c r="AH41" s="44"/>
      <c r="AI41" s="44"/>
      <c r="AJ41" s="44"/>
      <c r="AK41" s="44"/>
      <c r="AL41" s="44"/>
      <c r="AM41" s="44"/>
      <c r="AN41" s="44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</row>
    <row r="42">
      <c r="A42" s="28" t="s">
        <v>32</v>
      </c>
      <c r="B42" s="29" t="s">
        <v>42</v>
      </c>
      <c r="C42" s="30">
        <v>1.0</v>
      </c>
      <c r="D42" s="29" t="s">
        <v>58</v>
      </c>
      <c r="E42" s="45"/>
      <c r="F42" s="28" t="s">
        <v>36</v>
      </c>
      <c r="G42" s="28"/>
      <c r="H42" s="28"/>
      <c r="I42" s="28" t="s">
        <v>131</v>
      </c>
      <c r="J42" s="13" t="s">
        <v>128</v>
      </c>
      <c r="K42" s="40"/>
      <c r="L42" s="40"/>
      <c r="M42" s="40"/>
      <c r="N42" s="40"/>
      <c r="O42" s="47">
        <f t="shared" si="24"/>
        <v>0</v>
      </c>
      <c r="P42" s="41">
        <f t="shared" si="25"/>
        <v>0</v>
      </c>
      <c r="Q42" s="41">
        <f t="shared" si="26"/>
        <v>0</v>
      </c>
      <c r="R42" s="40"/>
      <c r="S42" s="40"/>
      <c r="T42" s="42"/>
      <c r="U42" s="74"/>
      <c r="V42" s="38">
        <f t="shared" si="30"/>
        <v>0</v>
      </c>
      <c r="W42" s="56">
        <f t="shared" si="29"/>
        <v>0</v>
      </c>
      <c r="X42" s="62"/>
      <c r="Y42" s="62"/>
      <c r="Z42" s="62"/>
      <c r="AA42" s="62"/>
      <c r="AB42" s="62"/>
      <c r="AC42" s="62"/>
      <c r="AD42" s="62"/>
      <c r="AE42" s="62"/>
      <c r="AF42" s="35">
        <f t="shared" si="28"/>
        <v>0</v>
      </c>
      <c r="AG42" s="44"/>
      <c r="AH42" s="44"/>
      <c r="AI42" s="44"/>
      <c r="AJ42" s="44"/>
      <c r="AK42" s="44"/>
      <c r="AL42" s="44"/>
      <c r="AM42" s="44"/>
      <c r="AN42" s="44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</row>
    <row r="43">
      <c r="A43" s="28" t="s">
        <v>32</v>
      </c>
      <c r="B43" s="29" t="s">
        <v>33</v>
      </c>
      <c r="C43" s="30">
        <v>1.0</v>
      </c>
      <c r="D43" s="29" t="s">
        <v>58</v>
      </c>
      <c r="E43" s="45"/>
      <c r="F43" s="28" t="s">
        <v>98</v>
      </c>
      <c r="G43" s="28"/>
      <c r="H43" s="28"/>
      <c r="I43" s="28" t="s">
        <v>132</v>
      </c>
      <c r="J43" s="13" t="s">
        <v>128</v>
      </c>
      <c r="K43" s="40"/>
      <c r="L43" s="40"/>
      <c r="M43" s="40"/>
      <c r="N43" s="40"/>
      <c r="O43" s="47">
        <f t="shared" si="24"/>
        <v>0</v>
      </c>
      <c r="P43" s="41">
        <f t="shared" si="25"/>
        <v>0</v>
      </c>
      <c r="Q43" s="41">
        <f t="shared" si="26"/>
        <v>0</v>
      </c>
      <c r="R43" s="40"/>
      <c r="S43" s="40"/>
      <c r="T43" s="42"/>
      <c r="U43" s="74"/>
      <c r="V43" s="38">
        <f t="shared" si="30"/>
        <v>0</v>
      </c>
      <c r="W43" s="56">
        <f t="shared" si="29"/>
        <v>0</v>
      </c>
      <c r="X43" s="62"/>
      <c r="Y43" s="62"/>
      <c r="Z43" s="62"/>
      <c r="AA43" s="62"/>
      <c r="AB43" s="62"/>
      <c r="AC43" s="62"/>
      <c r="AD43" s="62"/>
      <c r="AE43" s="62"/>
      <c r="AF43" s="35">
        <f t="shared" si="28"/>
        <v>0</v>
      </c>
      <c r="AG43" s="44"/>
      <c r="AH43" s="44"/>
      <c r="AI43" s="44"/>
      <c r="AJ43" s="44"/>
      <c r="AK43" s="44"/>
      <c r="AL43" s="44"/>
      <c r="AM43" s="44"/>
      <c r="AN43" s="44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</row>
    <row r="44">
      <c r="A44" s="28" t="s">
        <v>32</v>
      </c>
      <c r="B44" s="29" t="s">
        <v>42</v>
      </c>
      <c r="C44" s="30">
        <v>1.0</v>
      </c>
      <c r="D44" s="31" t="s">
        <v>66</v>
      </c>
      <c r="E44" s="31" t="s">
        <v>54</v>
      </c>
      <c r="F44" s="28" t="s">
        <v>36</v>
      </c>
      <c r="G44" s="32" t="s">
        <v>37</v>
      </c>
      <c r="H44" s="32">
        <v>10000.0</v>
      </c>
      <c r="I44" s="32" t="s">
        <v>133</v>
      </c>
      <c r="J44" s="13" t="s">
        <v>134</v>
      </c>
      <c r="K44" s="14" t="s">
        <v>135</v>
      </c>
      <c r="L44" s="15">
        <f t="shared" ref="L44:L45" si="32">H44*M44</f>
        <v>1380000</v>
      </c>
      <c r="M44" s="33">
        <v>138.0</v>
      </c>
      <c r="N44" s="33">
        <v>690.0</v>
      </c>
      <c r="O44" s="18">
        <f t="shared" si="24"/>
        <v>828</v>
      </c>
      <c r="P44" s="19">
        <f t="shared" si="25"/>
        <v>596.16</v>
      </c>
      <c r="Q44" s="19">
        <f t="shared" si="26"/>
        <v>-142.84</v>
      </c>
      <c r="R44" s="33">
        <v>1029.0</v>
      </c>
      <c r="S44" s="33">
        <v>739.0</v>
      </c>
      <c r="T44" s="34"/>
      <c r="U44" s="21">
        <v>0.8</v>
      </c>
      <c r="V44" s="22">
        <f t="shared" ref="V44:V45" si="33">W44*U44%</f>
        <v>0</v>
      </c>
      <c r="W44" s="23">
        <f t="shared" si="29"/>
        <v>0</v>
      </c>
      <c r="X44" s="27"/>
      <c r="Y44" s="27"/>
      <c r="Z44" s="27"/>
      <c r="AA44" s="27"/>
      <c r="AB44" s="27"/>
      <c r="AC44" s="27"/>
      <c r="AD44" s="27"/>
      <c r="AE44" s="27"/>
      <c r="AF44" s="35">
        <f t="shared" si="28"/>
        <v>0</v>
      </c>
      <c r="AG44" s="27"/>
      <c r="AH44" s="27"/>
      <c r="AI44" s="27"/>
      <c r="AJ44" s="27"/>
      <c r="AK44" s="27"/>
      <c r="AL44" s="27"/>
      <c r="AM44" s="27"/>
      <c r="AN44" s="27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</row>
    <row r="45">
      <c r="A45" s="28" t="s">
        <v>32</v>
      </c>
      <c r="B45" s="29" t="s">
        <v>42</v>
      </c>
      <c r="C45" s="30">
        <v>1.0</v>
      </c>
      <c r="D45" s="31" t="s">
        <v>66</v>
      </c>
      <c r="E45" s="31" t="s">
        <v>54</v>
      </c>
      <c r="F45" s="28" t="s">
        <v>36</v>
      </c>
      <c r="G45" s="32" t="s">
        <v>37</v>
      </c>
      <c r="H45" s="32">
        <v>10000.0</v>
      </c>
      <c r="I45" s="28" t="s">
        <v>136</v>
      </c>
      <c r="J45" s="13" t="s">
        <v>134</v>
      </c>
      <c r="K45" s="14" t="s">
        <v>135</v>
      </c>
      <c r="L45" s="15">
        <f t="shared" si="32"/>
        <v>1450000</v>
      </c>
      <c r="M45" s="33">
        <v>145.0</v>
      </c>
      <c r="N45" s="33">
        <v>895.0</v>
      </c>
      <c r="O45" s="18">
        <f t="shared" si="24"/>
        <v>1074</v>
      </c>
      <c r="P45" s="19">
        <f t="shared" si="25"/>
        <v>773.28</v>
      </c>
      <c r="Q45" s="19">
        <f t="shared" si="26"/>
        <v>-25.72</v>
      </c>
      <c r="R45" s="33">
        <v>1129.0</v>
      </c>
      <c r="S45" s="33">
        <v>799.0</v>
      </c>
      <c r="T45" s="34"/>
      <c r="U45" s="21">
        <v>0.8</v>
      </c>
      <c r="V45" s="22">
        <f t="shared" si="33"/>
        <v>0</v>
      </c>
      <c r="W45" s="23">
        <f t="shared" si="29"/>
        <v>0</v>
      </c>
      <c r="X45" s="27"/>
      <c r="Y45" s="27"/>
      <c r="Z45" s="27"/>
      <c r="AA45" s="27"/>
      <c r="AB45" s="27"/>
      <c r="AC45" s="27"/>
      <c r="AD45" s="27"/>
      <c r="AE45" s="38">
        <f>AN45*$O45</f>
        <v>0</v>
      </c>
      <c r="AF45" s="35">
        <f t="shared" si="28"/>
        <v>0</v>
      </c>
      <c r="AG45" s="27"/>
      <c r="AH45" s="27"/>
      <c r="AI45" s="27"/>
      <c r="AJ45" s="27"/>
      <c r="AK45" s="27"/>
      <c r="AL45" s="27"/>
      <c r="AM45" s="8"/>
      <c r="AN45" s="27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</row>
    <row r="46">
      <c r="A46" s="28" t="s">
        <v>41</v>
      </c>
      <c r="B46" s="29" t="s">
        <v>42</v>
      </c>
      <c r="C46" s="30">
        <v>1.0</v>
      </c>
      <c r="D46" s="29" t="s">
        <v>58</v>
      </c>
      <c r="E46" s="45"/>
      <c r="F46" s="28" t="s">
        <v>98</v>
      </c>
      <c r="G46" s="28"/>
      <c r="H46" s="28"/>
      <c r="I46" s="28" t="s">
        <v>137</v>
      </c>
      <c r="J46" s="13" t="s">
        <v>138</v>
      </c>
      <c r="K46" s="40"/>
      <c r="L46" s="40"/>
      <c r="M46" s="40"/>
      <c r="N46" s="40"/>
      <c r="O46" s="47">
        <f t="shared" si="24"/>
        <v>0</v>
      </c>
      <c r="P46" s="41">
        <f t="shared" si="25"/>
        <v>0</v>
      </c>
      <c r="Q46" s="41">
        <f t="shared" si="26"/>
        <v>0</v>
      </c>
      <c r="R46" s="40"/>
      <c r="S46" s="40"/>
      <c r="T46" s="42"/>
      <c r="U46" s="74"/>
      <c r="V46" s="38">
        <f t="shared" ref="V46:V57" si="35">W46*U46</f>
        <v>0</v>
      </c>
      <c r="W46" s="56">
        <f t="shared" si="29"/>
        <v>0</v>
      </c>
      <c r="X46" s="62"/>
      <c r="Y46" s="62"/>
      <c r="Z46" s="62"/>
      <c r="AA46" s="62"/>
      <c r="AB46" s="75">
        <f t="shared" ref="AB46:AE46" si="34">AK46*$O46</f>
        <v>0</v>
      </c>
      <c r="AC46" s="75">
        <f t="shared" si="34"/>
        <v>0</v>
      </c>
      <c r="AD46" s="75">
        <f t="shared" si="34"/>
        <v>0</v>
      </c>
      <c r="AE46" s="75">
        <f t="shared" si="34"/>
        <v>0</v>
      </c>
      <c r="AF46" s="35">
        <f t="shared" si="28"/>
        <v>0</v>
      </c>
      <c r="AG46" s="44"/>
      <c r="AH46" s="44"/>
      <c r="AI46" s="44"/>
      <c r="AJ46" s="44"/>
      <c r="AK46" s="44"/>
      <c r="AL46" s="44"/>
      <c r="AM46" s="44"/>
      <c r="AN46" s="44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</row>
    <row r="47">
      <c r="A47" s="28" t="s">
        <v>41</v>
      </c>
      <c r="B47" s="29" t="s">
        <v>42</v>
      </c>
      <c r="C47" s="30">
        <v>1.0</v>
      </c>
      <c r="D47" s="29" t="s">
        <v>58</v>
      </c>
      <c r="E47" s="58" t="s">
        <v>139</v>
      </c>
      <c r="F47" s="28" t="s">
        <v>98</v>
      </c>
      <c r="G47" s="28"/>
      <c r="H47" s="28"/>
      <c r="I47" s="28" t="s">
        <v>140</v>
      </c>
      <c r="J47" s="13" t="s">
        <v>138</v>
      </c>
      <c r="K47" s="40"/>
      <c r="L47" s="40"/>
      <c r="M47" s="40"/>
      <c r="N47" s="40"/>
      <c r="O47" s="47">
        <f t="shared" si="24"/>
        <v>0</v>
      </c>
      <c r="P47" s="41">
        <f t="shared" si="25"/>
        <v>0</v>
      </c>
      <c r="Q47" s="41">
        <f t="shared" si="26"/>
        <v>0</v>
      </c>
      <c r="R47" s="40"/>
      <c r="S47" s="40"/>
      <c r="T47" s="42"/>
      <c r="U47" s="74"/>
      <c r="V47" s="38">
        <f t="shared" si="35"/>
        <v>0</v>
      </c>
      <c r="W47" s="56">
        <f t="shared" si="29"/>
        <v>0</v>
      </c>
      <c r="X47" s="62"/>
      <c r="Y47" s="62"/>
      <c r="Z47" s="62"/>
      <c r="AA47" s="62"/>
      <c r="AB47" s="75">
        <f t="shared" ref="AB47:AE47" si="36">AK47*$O47</f>
        <v>0</v>
      </c>
      <c r="AC47" s="75">
        <f t="shared" si="36"/>
        <v>0</v>
      </c>
      <c r="AD47" s="75">
        <f t="shared" si="36"/>
        <v>0</v>
      </c>
      <c r="AE47" s="75">
        <f t="shared" si="36"/>
        <v>0</v>
      </c>
      <c r="AF47" s="35">
        <f t="shared" si="28"/>
        <v>0</v>
      </c>
      <c r="AG47" s="44"/>
      <c r="AH47" s="44"/>
      <c r="AI47" s="44"/>
      <c r="AJ47" s="44"/>
      <c r="AK47" s="44"/>
      <c r="AL47" s="44"/>
      <c r="AM47" s="44"/>
      <c r="AN47" s="44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</row>
    <row r="48">
      <c r="A48" s="28" t="s">
        <v>41</v>
      </c>
      <c r="B48" s="29" t="s">
        <v>42</v>
      </c>
      <c r="C48" s="30">
        <v>1.0</v>
      </c>
      <c r="D48" s="29" t="s">
        <v>58</v>
      </c>
      <c r="E48" s="58" t="s">
        <v>139</v>
      </c>
      <c r="F48" s="28" t="s">
        <v>98</v>
      </c>
      <c r="G48" s="28"/>
      <c r="H48" s="28"/>
      <c r="I48" s="28" t="s">
        <v>141</v>
      </c>
      <c r="J48" s="13" t="s">
        <v>138</v>
      </c>
      <c r="K48" s="40"/>
      <c r="L48" s="40"/>
      <c r="M48" s="40"/>
      <c r="N48" s="40"/>
      <c r="O48" s="47">
        <f t="shared" si="24"/>
        <v>0</v>
      </c>
      <c r="P48" s="41">
        <f t="shared" si="25"/>
        <v>0</v>
      </c>
      <c r="Q48" s="41">
        <f t="shared" si="26"/>
        <v>0</v>
      </c>
      <c r="R48" s="40"/>
      <c r="S48" s="40"/>
      <c r="T48" s="42"/>
      <c r="U48" s="74"/>
      <c r="V48" s="38">
        <f t="shared" si="35"/>
        <v>0</v>
      </c>
      <c r="W48" s="56">
        <f t="shared" si="29"/>
        <v>0</v>
      </c>
      <c r="X48" s="62"/>
      <c r="Y48" s="62"/>
      <c r="Z48" s="62"/>
      <c r="AA48" s="62"/>
      <c r="AB48" s="75">
        <f t="shared" ref="AB48:AE48" si="37">AK48*$O48</f>
        <v>0</v>
      </c>
      <c r="AC48" s="75">
        <f t="shared" si="37"/>
        <v>0</v>
      </c>
      <c r="AD48" s="75">
        <f t="shared" si="37"/>
        <v>0</v>
      </c>
      <c r="AE48" s="75">
        <f t="shared" si="37"/>
        <v>0</v>
      </c>
      <c r="AF48" s="35">
        <f t="shared" si="28"/>
        <v>0</v>
      </c>
      <c r="AG48" s="44"/>
      <c r="AH48" s="44"/>
      <c r="AI48" s="44"/>
      <c r="AJ48" s="44"/>
      <c r="AK48" s="44"/>
      <c r="AL48" s="44"/>
      <c r="AM48" s="44"/>
      <c r="AN48" s="44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</row>
    <row r="49">
      <c r="A49" s="28" t="s">
        <v>32</v>
      </c>
      <c r="B49" s="29" t="s">
        <v>42</v>
      </c>
      <c r="C49" s="30">
        <v>1.0</v>
      </c>
      <c r="D49" s="29" t="s">
        <v>102</v>
      </c>
      <c r="E49" s="58" t="s">
        <v>139</v>
      </c>
      <c r="F49" s="28" t="s">
        <v>98</v>
      </c>
      <c r="G49" s="28"/>
      <c r="H49" s="28"/>
      <c r="I49" s="28" t="s">
        <v>142</v>
      </c>
      <c r="J49" s="13" t="s">
        <v>143</v>
      </c>
      <c r="K49" s="40"/>
      <c r="L49" s="40"/>
      <c r="M49" s="40"/>
      <c r="N49" s="40"/>
      <c r="O49" s="47">
        <f t="shared" si="24"/>
        <v>0</v>
      </c>
      <c r="P49" s="41">
        <f t="shared" si="25"/>
        <v>0</v>
      </c>
      <c r="Q49" s="41">
        <f t="shared" si="26"/>
        <v>0</v>
      </c>
      <c r="R49" s="40"/>
      <c r="S49" s="40"/>
      <c r="T49" s="42"/>
      <c r="U49" s="74"/>
      <c r="V49" s="38">
        <f t="shared" si="35"/>
        <v>0</v>
      </c>
      <c r="W49" s="56">
        <f t="shared" si="29"/>
        <v>0</v>
      </c>
      <c r="X49" s="62"/>
      <c r="Y49" s="62"/>
      <c r="Z49" s="62"/>
      <c r="AA49" s="62"/>
      <c r="AB49" s="62"/>
      <c r="AC49" s="75">
        <f t="shared" ref="AC49:AE49" si="38">AL49*$O49</f>
        <v>0</v>
      </c>
      <c r="AD49" s="75">
        <f t="shared" si="38"/>
        <v>0</v>
      </c>
      <c r="AE49" s="75">
        <f t="shared" si="38"/>
        <v>0</v>
      </c>
      <c r="AF49" s="35">
        <f t="shared" si="28"/>
        <v>0</v>
      </c>
      <c r="AG49" s="44"/>
      <c r="AH49" s="44"/>
      <c r="AI49" s="44"/>
      <c r="AJ49" s="44"/>
      <c r="AK49" s="44"/>
      <c r="AL49" s="44"/>
      <c r="AM49" s="44"/>
      <c r="AN49" s="44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</row>
    <row r="50">
      <c r="A50" s="28" t="s">
        <v>32</v>
      </c>
      <c r="B50" s="29" t="s">
        <v>42</v>
      </c>
      <c r="C50" s="30">
        <v>1.0</v>
      </c>
      <c r="D50" s="29" t="s">
        <v>102</v>
      </c>
      <c r="E50" s="58" t="s">
        <v>139</v>
      </c>
      <c r="F50" s="28" t="s">
        <v>98</v>
      </c>
      <c r="G50" s="28"/>
      <c r="H50" s="28"/>
      <c r="I50" s="28" t="s">
        <v>144</v>
      </c>
      <c r="J50" s="13" t="s">
        <v>143</v>
      </c>
      <c r="K50" s="40"/>
      <c r="L50" s="40"/>
      <c r="M50" s="40"/>
      <c r="N50" s="40"/>
      <c r="O50" s="47">
        <f t="shared" si="24"/>
        <v>0</v>
      </c>
      <c r="P50" s="41">
        <f t="shared" si="25"/>
        <v>0</v>
      </c>
      <c r="Q50" s="41">
        <f t="shared" si="26"/>
        <v>0</v>
      </c>
      <c r="R50" s="40"/>
      <c r="S50" s="40"/>
      <c r="T50" s="42"/>
      <c r="U50" s="74"/>
      <c r="V50" s="38">
        <f t="shared" si="35"/>
        <v>0</v>
      </c>
      <c r="W50" s="56">
        <f t="shared" si="29"/>
        <v>0</v>
      </c>
      <c r="X50" s="62"/>
      <c r="Y50" s="62"/>
      <c r="Z50" s="62"/>
      <c r="AA50" s="75">
        <f t="shared" ref="AA50:AE50" si="39">AJ50*$O50</f>
        <v>0</v>
      </c>
      <c r="AB50" s="75">
        <f t="shared" si="39"/>
        <v>0</v>
      </c>
      <c r="AC50" s="75">
        <f t="shared" si="39"/>
        <v>0</v>
      </c>
      <c r="AD50" s="75">
        <f t="shared" si="39"/>
        <v>0</v>
      </c>
      <c r="AE50" s="75">
        <f t="shared" si="39"/>
        <v>0</v>
      </c>
      <c r="AF50" s="35">
        <f t="shared" si="28"/>
        <v>0</v>
      </c>
      <c r="AG50" s="44"/>
      <c r="AH50" s="44"/>
      <c r="AI50" s="44"/>
      <c r="AJ50" s="44"/>
      <c r="AK50" s="44"/>
      <c r="AL50" s="44"/>
      <c r="AM50" s="44"/>
      <c r="AN50" s="44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</row>
    <row r="51">
      <c r="A51" s="28" t="s">
        <v>32</v>
      </c>
      <c r="B51" s="29" t="s">
        <v>33</v>
      </c>
      <c r="C51" s="30">
        <v>1.0</v>
      </c>
      <c r="D51" s="29" t="s">
        <v>102</v>
      </c>
      <c r="E51" s="45"/>
      <c r="F51" s="28" t="s">
        <v>98</v>
      </c>
      <c r="G51" s="28"/>
      <c r="H51" s="28"/>
      <c r="I51" s="28" t="s">
        <v>145</v>
      </c>
      <c r="J51" s="13" t="s">
        <v>146</v>
      </c>
      <c r="K51" s="40"/>
      <c r="L51" s="40"/>
      <c r="M51" s="40"/>
      <c r="N51" s="40"/>
      <c r="O51" s="47">
        <f t="shared" si="24"/>
        <v>0</v>
      </c>
      <c r="P51" s="41">
        <f t="shared" si="25"/>
        <v>0</v>
      </c>
      <c r="Q51" s="41">
        <f t="shared" si="26"/>
        <v>0</v>
      </c>
      <c r="R51" s="40"/>
      <c r="S51" s="40"/>
      <c r="T51" s="42"/>
      <c r="U51" s="74"/>
      <c r="V51" s="38">
        <f t="shared" si="35"/>
        <v>0</v>
      </c>
      <c r="W51" s="56">
        <f t="shared" si="29"/>
        <v>0</v>
      </c>
      <c r="X51" s="62"/>
      <c r="Y51" s="62"/>
      <c r="Z51" s="62"/>
      <c r="AA51" s="75">
        <f t="shared" ref="AA51:AE51" si="40">AJ51*$O51</f>
        <v>0</v>
      </c>
      <c r="AB51" s="75">
        <f t="shared" si="40"/>
        <v>0</v>
      </c>
      <c r="AC51" s="75">
        <f t="shared" si="40"/>
        <v>0</v>
      </c>
      <c r="AD51" s="75">
        <f t="shared" si="40"/>
        <v>0</v>
      </c>
      <c r="AE51" s="75">
        <f t="shared" si="40"/>
        <v>0</v>
      </c>
      <c r="AF51" s="35">
        <f t="shared" si="28"/>
        <v>0</v>
      </c>
      <c r="AG51" s="44"/>
      <c r="AH51" s="44"/>
      <c r="AI51" s="44"/>
      <c r="AJ51" s="44"/>
      <c r="AK51" s="44"/>
      <c r="AL51" s="44"/>
      <c r="AM51" s="44"/>
      <c r="AN51" s="44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</row>
    <row r="52">
      <c r="A52" s="28" t="s">
        <v>32</v>
      </c>
      <c r="B52" s="29" t="s">
        <v>33</v>
      </c>
      <c r="C52" s="30">
        <v>1.0</v>
      </c>
      <c r="D52" s="29" t="s">
        <v>102</v>
      </c>
      <c r="E52" s="45"/>
      <c r="F52" s="28" t="s">
        <v>98</v>
      </c>
      <c r="G52" s="28"/>
      <c r="H52" s="28"/>
      <c r="I52" s="28" t="s">
        <v>147</v>
      </c>
      <c r="J52" s="13" t="s">
        <v>146</v>
      </c>
      <c r="K52" s="40"/>
      <c r="L52" s="40"/>
      <c r="M52" s="40"/>
      <c r="N52" s="40"/>
      <c r="O52" s="47">
        <f t="shared" si="24"/>
        <v>0</v>
      </c>
      <c r="P52" s="41">
        <f t="shared" si="25"/>
        <v>0</v>
      </c>
      <c r="Q52" s="41">
        <f t="shared" si="26"/>
        <v>0</v>
      </c>
      <c r="R52" s="40"/>
      <c r="S52" s="40"/>
      <c r="T52" s="42"/>
      <c r="U52" s="74"/>
      <c r="V52" s="38">
        <f t="shared" si="35"/>
        <v>0</v>
      </c>
      <c r="W52" s="56">
        <f t="shared" si="29"/>
        <v>0</v>
      </c>
      <c r="X52" s="62"/>
      <c r="Y52" s="62"/>
      <c r="Z52" s="62"/>
      <c r="AA52" s="62"/>
      <c r="AB52" s="62"/>
      <c r="AC52" s="62"/>
      <c r="AD52" s="75">
        <f t="shared" ref="AD52:AE52" si="41">AM52*$O52</f>
        <v>0</v>
      </c>
      <c r="AE52" s="75">
        <f t="shared" si="41"/>
        <v>0</v>
      </c>
      <c r="AF52" s="35">
        <f t="shared" si="28"/>
        <v>0</v>
      </c>
      <c r="AG52" s="44"/>
      <c r="AH52" s="44"/>
      <c r="AI52" s="44"/>
      <c r="AJ52" s="44"/>
      <c r="AK52" s="44"/>
      <c r="AL52" s="40"/>
      <c r="AM52" s="44"/>
      <c r="AN52" s="44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</row>
    <row r="53">
      <c r="A53" s="28" t="s">
        <v>148</v>
      </c>
      <c r="B53" s="29" t="s">
        <v>33</v>
      </c>
      <c r="C53" s="30">
        <v>1.0</v>
      </c>
      <c r="D53" s="29" t="s">
        <v>58</v>
      </c>
      <c r="E53" s="45"/>
      <c r="F53" s="28" t="s">
        <v>36</v>
      </c>
      <c r="G53" s="28"/>
      <c r="H53" s="28"/>
      <c r="I53" s="28" t="s">
        <v>149</v>
      </c>
      <c r="J53" s="13" t="s">
        <v>150</v>
      </c>
      <c r="K53" s="40"/>
      <c r="L53" s="40"/>
      <c r="M53" s="40"/>
      <c r="N53" s="40"/>
      <c r="O53" s="47">
        <f t="shared" si="24"/>
        <v>0</v>
      </c>
      <c r="P53" s="41">
        <f t="shared" si="25"/>
        <v>0</v>
      </c>
      <c r="Q53" s="41">
        <f t="shared" si="26"/>
        <v>0</v>
      </c>
      <c r="R53" s="40"/>
      <c r="S53" s="40"/>
      <c r="T53" s="42"/>
      <c r="U53" s="74"/>
      <c r="V53" s="38">
        <f t="shared" si="35"/>
        <v>0</v>
      </c>
      <c r="W53" s="56">
        <f t="shared" si="29"/>
        <v>0</v>
      </c>
      <c r="X53" s="62"/>
      <c r="Y53" s="62"/>
      <c r="Z53" s="62"/>
      <c r="AA53" s="62"/>
      <c r="AB53" s="62"/>
      <c r="AC53" s="62"/>
      <c r="AD53" s="75">
        <f t="shared" ref="AD53:AE53" si="42">AM53*$O53</f>
        <v>0</v>
      </c>
      <c r="AE53" s="75">
        <f t="shared" si="42"/>
        <v>0</v>
      </c>
      <c r="AF53" s="35">
        <f t="shared" si="28"/>
        <v>0</v>
      </c>
      <c r="AG53" s="44"/>
      <c r="AH53" s="44"/>
      <c r="AI53" s="44"/>
      <c r="AJ53" s="44"/>
      <c r="AK53" s="44"/>
      <c r="AL53" s="40"/>
      <c r="AM53" s="44"/>
      <c r="AN53" s="44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</row>
    <row r="54">
      <c r="A54" s="28" t="s">
        <v>148</v>
      </c>
      <c r="B54" s="29" t="s">
        <v>42</v>
      </c>
      <c r="C54" s="30">
        <v>1.0</v>
      </c>
      <c r="D54" s="29" t="s">
        <v>58</v>
      </c>
      <c r="E54" s="45"/>
      <c r="F54" s="28" t="s">
        <v>36</v>
      </c>
      <c r="G54" s="28"/>
      <c r="H54" s="28"/>
      <c r="I54" s="28" t="s">
        <v>151</v>
      </c>
      <c r="J54" s="40"/>
      <c r="K54" s="40"/>
      <c r="L54" s="40"/>
      <c r="M54" s="40"/>
      <c r="N54" s="40"/>
      <c r="O54" s="47">
        <f t="shared" si="24"/>
        <v>0</v>
      </c>
      <c r="P54" s="41">
        <f t="shared" si="25"/>
        <v>0</v>
      </c>
      <c r="Q54" s="41">
        <f t="shared" si="26"/>
        <v>0</v>
      </c>
      <c r="R54" s="40"/>
      <c r="S54" s="40"/>
      <c r="T54" s="42"/>
      <c r="U54" s="74"/>
      <c r="V54" s="38">
        <f t="shared" si="35"/>
        <v>0</v>
      </c>
      <c r="W54" s="56">
        <f t="shared" si="29"/>
        <v>0</v>
      </c>
      <c r="X54" s="62"/>
      <c r="Y54" s="62"/>
      <c r="Z54" s="62"/>
      <c r="AA54" s="62"/>
      <c r="AB54" s="62"/>
      <c r="AC54" s="62"/>
      <c r="AD54" s="75">
        <f t="shared" ref="AD54:AE54" si="43">AM54*$O54</f>
        <v>0</v>
      </c>
      <c r="AE54" s="75">
        <f t="shared" si="43"/>
        <v>0</v>
      </c>
      <c r="AF54" s="35">
        <f t="shared" si="28"/>
        <v>0</v>
      </c>
      <c r="AG54" s="44"/>
      <c r="AH54" s="44"/>
      <c r="AI54" s="44"/>
      <c r="AJ54" s="44"/>
      <c r="AK54" s="44"/>
      <c r="AL54" s="40"/>
      <c r="AM54" s="44"/>
      <c r="AN54" s="44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</row>
    <row r="55">
      <c r="A55" s="28" t="s">
        <v>148</v>
      </c>
      <c r="B55" s="29" t="s">
        <v>42</v>
      </c>
      <c r="C55" s="30">
        <v>1.0</v>
      </c>
      <c r="D55" s="29" t="s">
        <v>58</v>
      </c>
      <c r="E55" s="45"/>
      <c r="F55" s="28" t="s">
        <v>36</v>
      </c>
      <c r="G55" s="28"/>
      <c r="H55" s="28"/>
      <c r="I55" s="28" t="s">
        <v>152</v>
      </c>
      <c r="J55" s="40"/>
      <c r="K55" s="40"/>
      <c r="L55" s="40"/>
      <c r="M55" s="40"/>
      <c r="N55" s="40"/>
      <c r="O55" s="47">
        <f t="shared" si="24"/>
        <v>0</v>
      </c>
      <c r="P55" s="41">
        <f t="shared" si="25"/>
        <v>0</v>
      </c>
      <c r="Q55" s="41">
        <f t="shared" si="26"/>
        <v>0</v>
      </c>
      <c r="R55" s="40"/>
      <c r="S55" s="40"/>
      <c r="T55" s="42"/>
      <c r="U55" s="74"/>
      <c r="V55" s="38">
        <f t="shared" si="35"/>
        <v>0</v>
      </c>
      <c r="W55" s="56">
        <f t="shared" si="29"/>
        <v>0</v>
      </c>
      <c r="X55" s="62"/>
      <c r="Y55" s="62"/>
      <c r="Z55" s="62"/>
      <c r="AA55" s="62"/>
      <c r="AB55" s="62"/>
      <c r="AC55" s="75">
        <f t="shared" ref="AC55:AE55" si="44">AL55*$O55</f>
        <v>0</v>
      </c>
      <c r="AD55" s="75">
        <f t="shared" si="44"/>
        <v>0</v>
      </c>
      <c r="AE55" s="75">
        <f t="shared" si="44"/>
        <v>0</v>
      </c>
      <c r="AF55" s="35">
        <f t="shared" si="28"/>
        <v>0</v>
      </c>
      <c r="AG55" s="44"/>
      <c r="AH55" s="44"/>
      <c r="AI55" s="44"/>
      <c r="AJ55" s="44"/>
      <c r="AK55" s="40"/>
      <c r="AL55" s="44"/>
      <c r="AM55" s="44"/>
      <c r="AN55" s="44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</row>
    <row r="56">
      <c r="A56" s="28" t="s">
        <v>148</v>
      </c>
      <c r="B56" s="29" t="s">
        <v>42</v>
      </c>
      <c r="C56" s="30">
        <v>1.0</v>
      </c>
      <c r="D56" s="29" t="s">
        <v>58</v>
      </c>
      <c r="E56" s="45"/>
      <c r="F56" s="28" t="s">
        <v>153</v>
      </c>
      <c r="G56" s="28"/>
      <c r="H56" s="28"/>
      <c r="I56" s="28" t="s">
        <v>154</v>
      </c>
      <c r="J56" s="40"/>
      <c r="K56" s="40"/>
      <c r="L56" s="40"/>
      <c r="M56" s="40"/>
      <c r="N56" s="40"/>
      <c r="O56" s="47">
        <f t="shared" si="24"/>
        <v>0</v>
      </c>
      <c r="P56" s="41">
        <f t="shared" si="25"/>
        <v>0</v>
      </c>
      <c r="Q56" s="41">
        <f t="shared" si="26"/>
        <v>0</v>
      </c>
      <c r="R56" s="40"/>
      <c r="S56" s="40"/>
      <c r="T56" s="42"/>
      <c r="U56" s="74"/>
      <c r="V56" s="38">
        <f t="shared" si="35"/>
        <v>0</v>
      </c>
      <c r="W56" s="56">
        <f t="shared" si="29"/>
        <v>0</v>
      </c>
      <c r="X56" s="62"/>
      <c r="Y56" s="62"/>
      <c r="Z56" s="62"/>
      <c r="AA56" s="62"/>
      <c r="AB56" s="62"/>
      <c r="AC56" s="75">
        <f t="shared" ref="AC56:AE56" si="45">AL56*$O56</f>
        <v>0</v>
      </c>
      <c r="AD56" s="75">
        <f t="shared" si="45"/>
        <v>0</v>
      </c>
      <c r="AE56" s="75">
        <f t="shared" si="45"/>
        <v>0</v>
      </c>
      <c r="AF56" s="35">
        <f t="shared" si="28"/>
        <v>0</v>
      </c>
      <c r="AG56" s="44"/>
      <c r="AH56" s="44"/>
      <c r="AI56" s="44"/>
      <c r="AJ56" s="44"/>
      <c r="AK56" s="40"/>
      <c r="AL56" s="44"/>
      <c r="AM56" s="44"/>
      <c r="AN56" s="44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</row>
    <row r="57">
      <c r="A57" s="28" t="s">
        <v>32</v>
      </c>
      <c r="B57" s="29" t="s">
        <v>33</v>
      </c>
      <c r="C57" s="30">
        <v>1.0</v>
      </c>
      <c r="D57" s="31" t="s">
        <v>58</v>
      </c>
      <c r="E57" s="76" t="s">
        <v>155</v>
      </c>
      <c r="F57" s="28" t="s">
        <v>156</v>
      </c>
      <c r="G57" s="28"/>
      <c r="H57" s="28"/>
      <c r="I57" s="28" t="s">
        <v>157</v>
      </c>
      <c r="J57" s="13" t="s">
        <v>39</v>
      </c>
      <c r="K57" s="40"/>
      <c r="L57" s="40"/>
      <c r="M57" s="40"/>
      <c r="N57" s="40"/>
      <c r="O57" s="47">
        <f t="shared" si="24"/>
        <v>0</v>
      </c>
      <c r="P57" s="41">
        <f t="shared" si="25"/>
        <v>0</v>
      </c>
      <c r="Q57" s="41">
        <f t="shared" si="26"/>
        <v>0</v>
      </c>
      <c r="R57" s="40"/>
      <c r="S57" s="40"/>
      <c r="T57" s="42"/>
      <c r="U57" s="74"/>
      <c r="V57" s="38">
        <f t="shared" si="35"/>
        <v>0</v>
      </c>
      <c r="W57" s="56">
        <f t="shared" si="29"/>
        <v>0</v>
      </c>
      <c r="X57" s="62"/>
      <c r="Y57" s="62"/>
      <c r="Z57" s="62"/>
      <c r="AA57" s="62"/>
      <c r="AB57" s="62"/>
      <c r="AC57" s="75">
        <f t="shared" ref="AC57:AE57" si="46">AL57*$O57</f>
        <v>0</v>
      </c>
      <c r="AD57" s="75">
        <f t="shared" si="46"/>
        <v>0</v>
      </c>
      <c r="AE57" s="75">
        <f t="shared" si="46"/>
        <v>0</v>
      </c>
      <c r="AF57" s="35">
        <f t="shared" si="28"/>
        <v>0</v>
      </c>
      <c r="AG57" s="44"/>
      <c r="AH57" s="44"/>
      <c r="AI57" s="44"/>
      <c r="AJ57" s="44"/>
      <c r="AK57" s="40"/>
      <c r="AL57" s="44"/>
      <c r="AM57" s="44"/>
      <c r="AN57" s="44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</row>
    <row r="58">
      <c r="A58" s="28" t="s">
        <v>32</v>
      </c>
      <c r="B58" s="29" t="s">
        <v>33</v>
      </c>
      <c r="C58" s="30">
        <v>1.0</v>
      </c>
      <c r="D58" s="31" t="s">
        <v>34</v>
      </c>
      <c r="E58" s="76" t="s">
        <v>158</v>
      </c>
      <c r="F58" s="28" t="s">
        <v>153</v>
      </c>
      <c r="G58" s="32" t="s">
        <v>37</v>
      </c>
      <c r="H58" s="32">
        <v>7000.0</v>
      </c>
      <c r="I58" s="28" t="s">
        <v>159</v>
      </c>
      <c r="J58" s="77" t="s">
        <v>160</v>
      </c>
      <c r="K58" s="33" t="s">
        <v>161</v>
      </c>
      <c r="L58" s="78">
        <f>H58*M58</f>
        <v>1248100</v>
      </c>
      <c r="M58" s="33">
        <v>178.3</v>
      </c>
      <c r="N58" s="33">
        <v>895.0</v>
      </c>
      <c r="O58" s="18">
        <f t="shared" si="24"/>
        <v>1074</v>
      </c>
      <c r="P58" s="19">
        <f t="shared" si="25"/>
        <v>773.28</v>
      </c>
      <c r="Q58" s="19">
        <f t="shared" si="26"/>
        <v>-25.72</v>
      </c>
      <c r="R58" s="33">
        <v>1179.0</v>
      </c>
      <c r="S58" s="33">
        <v>799.0</v>
      </c>
      <c r="T58" s="34"/>
      <c r="U58" s="21">
        <v>0.8</v>
      </c>
      <c r="V58" s="22">
        <f>W58*U58%</f>
        <v>0</v>
      </c>
      <c r="W58" s="23">
        <f t="shared" si="29"/>
        <v>0</v>
      </c>
      <c r="X58" s="79"/>
      <c r="Y58" s="79"/>
      <c r="Z58" s="79"/>
      <c r="AA58" s="79"/>
      <c r="AB58" s="79"/>
      <c r="AC58" s="79"/>
      <c r="AD58" s="75">
        <f t="shared" ref="AD58:AE58" si="47">AM58*$O58</f>
        <v>0</v>
      </c>
      <c r="AE58" s="75">
        <f t="shared" si="47"/>
        <v>0</v>
      </c>
      <c r="AF58" s="35">
        <f t="shared" si="28"/>
        <v>0</v>
      </c>
      <c r="AG58" s="27"/>
      <c r="AH58" s="27"/>
      <c r="AI58" s="27"/>
      <c r="AJ58" s="27"/>
      <c r="AK58" s="8"/>
      <c r="AL58" s="8"/>
      <c r="AM58" s="27"/>
      <c r="AN58" s="27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</row>
    <row r="59">
      <c r="A59" s="28" t="s">
        <v>68</v>
      </c>
      <c r="B59" s="29" t="s">
        <v>33</v>
      </c>
      <c r="C59" s="30">
        <v>1.0</v>
      </c>
      <c r="D59" s="31" t="s">
        <v>66</v>
      </c>
      <c r="E59" s="76" t="s">
        <v>158</v>
      </c>
      <c r="F59" s="28" t="s">
        <v>153</v>
      </c>
      <c r="G59" s="32" t="s">
        <v>37</v>
      </c>
      <c r="H59" s="32">
        <v>10000.0</v>
      </c>
      <c r="I59" s="28" t="s">
        <v>162</v>
      </c>
      <c r="J59" s="13" t="s">
        <v>77</v>
      </c>
      <c r="K59" s="50" t="s">
        <v>163</v>
      </c>
      <c r="L59" s="50"/>
      <c r="M59" s="80">
        <v>151.0</v>
      </c>
      <c r="N59" s="81"/>
      <c r="O59" s="82">
        <f t="shared" si="24"/>
        <v>0</v>
      </c>
      <c r="P59" s="83">
        <f t="shared" si="25"/>
        <v>0</v>
      </c>
      <c r="Q59" s="83">
        <f t="shared" si="26"/>
        <v>0</v>
      </c>
      <c r="R59" s="81"/>
      <c r="S59" s="81"/>
      <c r="T59" s="42"/>
      <c r="U59" s="74"/>
      <c r="V59" s="38">
        <f t="shared" ref="V59:V61" si="48">W59*U59</f>
        <v>0</v>
      </c>
      <c r="W59" s="56">
        <f t="shared" si="29"/>
        <v>0</v>
      </c>
      <c r="X59" s="44"/>
      <c r="Y59" s="44"/>
      <c r="Z59" s="44"/>
      <c r="AA59" s="44"/>
      <c r="AB59" s="44"/>
      <c r="AC59" s="44"/>
      <c r="AD59" s="44"/>
      <c r="AE59" s="75">
        <f t="shared" ref="AE59:AE61" si="49">AN59*$O59</f>
        <v>0</v>
      </c>
      <c r="AF59" s="35">
        <f t="shared" si="28"/>
        <v>0</v>
      </c>
      <c r="AG59" s="44"/>
      <c r="AH59" s="44"/>
      <c r="AI59" s="44"/>
      <c r="AJ59" s="44"/>
      <c r="AK59" s="44"/>
      <c r="AL59" s="44"/>
      <c r="AM59" s="44"/>
      <c r="AN59" s="84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</row>
    <row r="60">
      <c r="A60" s="28" t="s">
        <v>32</v>
      </c>
      <c r="B60" s="29" t="s">
        <v>33</v>
      </c>
      <c r="C60" s="30">
        <v>1.0</v>
      </c>
      <c r="D60" s="31" t="s">
        <v>66</v>
      </c>
      <c r="E60" s="58" t="s">
        <v>158</v>
      </c>
      <c r="F60" s="28" t="s">
        <v>153</v>
      </c>
      <c r="G60" s="32" t="s">
        <v>37</v>
      </c>
      <c r="H60" s="32">
        <v>7000.0</v>
      </c>
      <c r="I60" s="32" t="s">
        <v>164</v>
      </c>
      <c r="J60" s="13" t="s">
        <v>39</v>
      </c>
      <c r="K60" s="50" t="s">
        <v>165</v>
      </c>
      <c r="L60" s="50"/>
      <c r="M60" s="50">
        <v>130.0</v>
      </c>
      <c r="N60" s="81"/>
      <c r="O60" s="82">
        <f t="shared" si="24"/>
        <v>0</v>
      </c>
      <c r="P60" s="83">
        <f t="shared" si="25"/>
        <v>0</v>
      </c>
      <c r="Q60" s="83">
        <f t="shared" si="26"/>
        <v>0</v>
      </c>
      <c r="R60" s="81"/>
      <c r="S60" s="81"/>
      <c r="T60" s="42"/>
      <c r="U60" s="74"/>
      <c r="V60" s="38">
        <f t="shared" si="48"/>
        <v>0</v>
      </c>
      <c r="W60" s="56">
        <f t="shared" si="29"/>
        <v>0</v>
      </c>
      <c r="X60" s="44"/>
      <c r="Y60" s="44"/>
      <c r="Z60" s="44"/>
      <c r="AA60" s="44"/>
      <c r="AB60" s="44"/>
      <c r="AC60" s="44"/>
      <c r="AD60" s="44"/>
      <c r="AE60" s="75">
        <f t="shared" si="49"/>
        <v>0</v>
      </c>
      <c r="AF60" s="35">
        <f t="shared" si="28"/>
        <v>0</v>
      </c>
      <c r="AG60" s="44"/>
      <c r="AH60" s="44"/>
      <c r="AI60" s="44"/>
      <c r="AJ60" s="44"/>
      <c r="AK60" s="44"/>
      <c r="AL60" s="44"/>
      <c r="AM60" s="44"/>
      <c r="AN60" s="81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</row>
    <row r="61">
      <c r="A61" s="28" t="s">
        <v>32</v>
      </c>
      <c r="B61" s="29" t="s">
        <v>33</v>
      </c>
      <c r="C61" s="30">
        <v>1.0</v>
      </c>
      <c r="D61" s="31" t="s">
        <v>69</v>
      </c>
      <c r="E61" s="58" t="s">
        <v>166</v>
      </c>
      <c r="F61" s="28" t="s">
        <v>153</v>
      </c>
      <c r="G61" s="32" t="s">
        <v>37</v>
      </c>
      <c r="H61" s="32">
        <v>7000.0</v>
      </c>
      <c r="I61" s="28" t="s">
        <v>167</v>
      </c>
      <c r="J61" s="13" t="s">
        <v>39</v>
      </c>
      <c r="K61" s="40"/>
      <c r="L61" s="40"/>
      <c r="M61" s="50">
        <v>139.4</v>
      </c>
      <c r="N61" s="40"/>
      <c r="O61" s="82">
        <f t="shared" si="24"/>
        <v>0</v>
      </c>
      <c r="P61" s="83">
        <f t="shared" si="25"/>
        <v>0</v>
      </c>
      <c r="Q61" s="83">
        <f t="shared" si="26"/>
        <v>0</v>
      </c>
      <c r="R61" s="40"/>
      <c r="S61" s="40"/>
      <c r="T61" s="42"/>
      <c r="U61" s="74"/>
      <c r="V61" s="38">
        <f t="shared" si="48"/>
        <v>0</v>
      </c>
      <c r="W61" s="56">
        <f t="shared" si="29"/>
        <v>0</v>
      </c>
      <c r="X61" s="44"/>
      <c r="Y61" s="44"/>
      <c r="Z61" s="44"/>
      <c r="AA61" s="44"/>
      <c r="AB61" s="44"/>
      <c r="AC61" s="44"/>
      <c r="AD61" s="44"/>
      <c r="AE61" s="75">
        <f t="shared" si="49"/>
        <v>0</v>
      </c>
      <c r="AF61" s="35">
        <f t="shared" si="28"/>
        <v>0</v>
      </c>
      <c r="AG61" s="44"/>
      <c r="AH61" s="44"/>
      <c r="AI61" s="44"/>
      <c r="AJ61" s="44"/>
      <c r="AK61" s="44"/>
      <c r="AL61" s="44"/>
      <c r="AM61" s="44"/>
      <c r="AN61" s="84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</row>
    <row r="62">
      <c r="A62" s="28" t="s">
        <v>32</v>
      </c>
      <c r="B62" s="29" t="s">
        <v>42</v>
      </c>
      <c r="C62" s="30">
        <v>1.0</v>
      </c>
      <c r="D62" s="29" t="s">
        <v>78</v>
      </c>
      <c r="E62" s="58" t="s">
        <v>168</v>
      </c>
      <c r="F62" s="28" t="s">
        <v>98</v>
      </c>
      <c r="G62" s="28"/>
      <c r="H62" s="28"/>
      <c r="I62" s="29" t="s">
        <v>169</v>
      </c>
      <c r="J62" s="63" t="s">
        <v>97</v>
      </c>
      <c r="K62" s="40"/>
      <c r="L62" s="40"/>
      <c r="M62" s="40"/>
      <c r="N62" s="40"/>
      <c r="O62" s="81"/>
      <c r="P62" s="85"/>
      <c r="Q62" s="85"/>
      <c r="R62" s="40"/>
      <c r="S62" s="40"/>
      <c r="T62" s="42"/>
      <c r="U62" s="74"/>
      <c r="V62" s="44"/>
      <c r="W62" s="40"/>
      <c r="X62" s="44"/>
      <c r="Y62" s="44"/>
      <c r="Z62" s="44"/>
      <c r="AA62" s="44"/>
      <c r="AB62" s="44"/>
      <c r="AC62" s="44"/>
      <c r="AD62" s="44"/>
      <c r="AE62" s="62"/>
      <c r="AF62" s="44"/>
      <c r="AG62" s="44"/>
      <c r="AH62" s="44"/>
      <c r="AI62" s="44"/>
      <c r="AJ62" s="44"/>
      <c r="AK62" s="44"/>
      <c r="AL62" s="44"/>
      <c r="AM62" s="44"/>
      <c r="AN62" s="84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</row>
    <row r="63">
      <c r="A63" s="28" t="s">
        <v>32</v>
      </c>
      <c r="B63" s="29" t="s">
        <v>33</v>
      </c>
      <c r="C63" s="30">
        <v>1.0</v>
      </c>
      <c r="D63" s="31" t="s">
        <v>53</v>
      </c>
      <c r="E63" s="32" t="s">
        <v>54</v>
      </c>
      <c r="F63" s="28" t="s">
        <v>98</v>
      </c>
      <c r="G63" s="32" t="s">
        <v>37</v>
      </c>
      <c r="H63" s="32">
        <v>7000.0</v>
      </c>
      <c r="I63" s="29" t="s">
        <v>170</v>
      </c>
      <c r="J63" s="13" t="s">
        <v>39</v>
      </c>
      <c r="K63" s="50" t="s">
        <v>171</v>
      </c>
      <c r="L63" s="50"/>
      <c r="M63" s="80">
        <v>117.0</v>
      </c>
      <c r="N63" s="40"/>
      <c r="O63" s="82">
        <f t="shared" ref="O63:O84" si="50">N63*120/100</f>
        <v>0</v>
      </c>
      <c r="P63" s="83">
        <f t="shared" ref="P63:P84" si="51">O63*0.72</f>
        <v>0</v>
      </c>
      <c r="Q63" s="83">
        <f t="shared" ref="Q63:Q84" si="52">P63-S63</f>
        <v>0</v>
      </c>
      <c r="R63" s="40"/>
      <c r="S63" s="40"/>
      <c r="T63" s="42"/>
      <c r="U63" s="74"/>
      <c r="V63" s="38">
        <f t="shared" ref="V63:V84" si="53">W63*U63</f>
        <v>0</v>
      </c>
      <c r="W63" s="56">
        <f t="shared" ref="W63:W84" si="54">SUM(X63:AE63)</f>
        <v>0</v>
      </c>
      <c r="X63" s="44"/>
      <c r="Y63" s="44"/>
      <c r="Z63" s="44"/>
      <c r="AA63" s="44"/>
      <c r="AB63" s="44"/>
      <c r="AC63" s="44"/>
      <c r="AD63" s="44"/>
      <c r="AE63" s="75">
        <f t="shared" ref="AE63:AE65" si="55">AN63*$O63</f>
        <v>0</v>
      </c>
      <c r="AF63" s="35">
        <f t="shared" ref="AF63:AF65" si="56">SUM(AG63:AN63)</f>
        <v>0</v>
      </c>
      <c r="AG63" s="44"/>
      <c r="AH63" s="44"/>
      <c r="AI63" s="44"/>
      <c r="AJ63" s="44"/>
      <c r="AK63" s="44"/>
      <c r="AL63" s="44"/>
      <c r="AM63" s="44"/>
      <c r="AN63" s="84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</row>
    <row r="64">
      <c r="A64" s="86" t="s">
        <v>172</v>
      </c>
      <c r="B64" s="87"/>
      <c r="C64" s="88">
        <f>SUM(C1:C63)</f>
        <v>82</v>
      </c>
      <c r="D64" s="89"/>
      <c r="E64" s="89"/>
      <c r="F64" s="89"/>
      <c r="G64" s="89"/>
      <c r="H64" s="89"/>
      <c r="I64" s="89"/>
      <c r="J64" s="40"/>
      <c r="K64" s="40"/>
      <c r="L64" s="40"/>
      <c r="M64" s="40"/>
      <c r="N64" s="40"/>
      <c r="O64" s="82">
        <f t="shared" si="50"/>
        <v>0</v>
      </c>
      <c r="P64" s="83">
        <f t="shared" si="51"/>
        <v>0</v>
      </c>
      <c r="Q64" s="83">
        <f t="shared" si="52"/>
        <v>0</v>
      </c>
      <c r="R64" s="40"/>
      <c r="S64" s="40"/>
      <c r="T64" s="42"/>
      <c r="U64" s="74"/>
      <c r="V64" s="38">
        <f t="shared" si="53"/>
        <v>0</v>
      </c>
      <c r="W64" s="56">
        <f t="shared" si="54"/>
        <v>0</v>
      </c>
      <c r="X64" s="44"/>
      <c r="Y64" s="44"/>
      <c r="Z64" s="44"/>
      <c r="AA64" s="44"/>
      <c r="AB64" s="44"/>
      <c r="AC64" s="44"/>
      <c r="AD64" s="44"/>
      <c r="AE64" s="75">
        <f t="shared" si="55"/>
        <v>0</v>
      </c>
      <c r="AF64" s="35">
        <f t="shared" si="56"/>
        <v>0</v>
      </c>
      <c r="AG64" s="44"/>
      <c r="AH64" s="44"/>
      <c r="AI64" s="44"/>
      <c r="AJ64" s="44"/>
      <c r="AK64" s="44"/>
      <c r="AL64" s="44"/>
      <c r="AM64" s="44"/>
      <c r="AN64" s="84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</row>
    <row r="65">
      <c r="A65" s="89"/>
      <c r="B65" s="87"/>
      <c r="C65" s="89"/>
      <c r="D65" s="89"/>
      <c r="E65" s="89"/>
      <c r="F65" s="89"/>
      <c r="G65" s="89"/>
      <c r="H65" s="89"/>
      <c r="I65" s="89"/>
      <c r="J65" s="40"/>
      <c r="K65" s="40"/>
      <c r="L65" s="40"/>
      <c r="M65" s="40"/>
      <c r="N65" s="40"/>
      <c r="O65" s="82">
        <f t="shared" si="50"/>
        <v>0</v>
      </c>
      <c r="P65" s="83">
        <f t="shared" si="51"/>
        <v>0</v>
      </c>
      <c r="Q65" s="83">
        <f t="shared" si="52"/>
        <v>0</v>
      </c>
      <c r="R65" s="40"/>
      <c r="S65" s="40"/>
      <c r="T65" s="42"/>
      <c r="U65" s="74"/>
      <c r="V65" s="38">
        <f t="shared" si="53"/>
        <v>0</v>
      </c>
      <c r="W65" s="56">
        <f t="shared" si="54"/>
        <v>0</v>
      </c>
      <c r="X65" s="44"/>
      <c r="Y65" s="44"/>
      <c r="Z65" s="44"/>
      <c r="AA65" s="44"/>
      <c r="AB65" s="44"/>
      <c r="AC65" s="44"/>
      <c r="AD65" s="44"/>
      <c r="AE65" s="75">
        <f t="shared" si="55"/>
        <v>0</v>
      </c>
      <c r="AF65" s="35">
        <f t="shared" si="56"/>
        <v>0</v>
      </c>
      <c r="AG65" s="44"/>
      <c r="AH65" s="44"/>
      <c r="AI65" s="44"/>
      <c r="AJ65" s="44"/>
      <c r="AK65" s="44"/>
      <c r="AL65" s="44"/>
      <c r="AM65" s="44"/>
      <c r="AN65" s="84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0"/>
      <c r="K66" s="40"/>
      <c r="L66" s="40"/>
      <c r="M66" s="40"/>
      <c r="N66" s="40"/>
      <c r="O66" s="47">
        <f t="shared" si="50"/>
        <v>0</v>
      </c>
      <c r="P66" s="41">
        <f t="shared" si="51"/>
        <v>0</v>
      </c>
      <c r="Q66" s="41">
        <f t="shared" si="52"/>
        <v>0</v>
      </c>
      <c r="R66" s="40"/>
      <c r="S66" s="40"/>
      <c r="T66" s="42"/>
      <c r="U66" s="74"/>
      <c r="V66" s="38">
        <f t="shared" si="53"/>
        <v>0</v>
      </c>
      <c r="W66" s="56">
        <f t="shared" si="54"/>
        <v>0</v>
      </c>
      <c r="X66" s="62"/>
      <c r="Y66" s="62"/>
      <c r="Z66" s="75">
        <f t="shared" ref="Z66:AE66" si="57">AI66*$O66</f>
        <v>0</v>
      </c>
      <c r="AA66" s="75">
        <f t="shared" si="57"/>
        <v>0</v>
      </c>
      <c r="AB66" s="75">
        <f t="shared" si="57"/>
        <v>0</v>
      </c>
      <c r="AC66" s="75">
        <f t="shared" si="57"/>
        <v>0</v>
      </c>
      <c r="AD66" s="75">
        <f t="shared" si="57"/>
        <v>0</v>
      </c>
      <c r="AE66" s="75">
        <f t="shared" si="57"/>
        <v>0</v>
      </c>
      <c r="AF66" s="40"/>
      <c r="AG66" s="44"/>
      <c r="AH66" s="44"/>
      <c r="AI66" s="44"/>
      <c r="AJ66" s="44"/>
      <c r="AK66" s="44"/>
      <c r="AL66" s="44"/>
      <c r="AM66" s="44"/>
      <c r="AN66" s="44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0"/>
      <c r="K67" s="40"/>
      <c r="L67" s="40"/>
      <c r="M67" s="40"/>
      <c r="N67" s="40"/>
      <c r="O67" s="47">
        <f t="shared" si="50"/>
        <v>0</v>
      </c>
      <c r="P67" s="41">
        <f t="shared" si="51"/>
        <v>0</v>
      </c>
      <c r="Q67" s="41">
        <f t="shared" si="52"/>
        <v>0</v>
      </c>
      <c r="R67" s="40"/>
      <c r="S67" s="40"/>
      <c r="T67" s="42"/>
      <c r="U67" s="74"/>
      <c r="V67" s="38">
        <f t="shared" si="53"/>
        <v>0</v>
      </c>
      <c r="W67" s="56">
        <f t="shared" si="54"/>
        <v>0</v>
      </c>
      <c r="X67" s="62"/>
      <c r="Y67" s="62"/>
      <c r="Z67" s="75">
        <f t="shared" ref="Z67:AE67" si="58">AI67*$O67</f>
        <v>0</v>
      </c>
      <c r="AA67" s="75">
        <f t="shared" si="58"/>
        <v>0</v>
      </c>
      <c r="AB67" s="75">
        <f t="shared" si="58"/>
        <v>0</v>
      </c>
      <c r="AC67" s="75">
        <f t="shared" si="58"/>
        <v>0</v>
      </c>
      <c r="AD67" s="75">
        <f t="shared" si="58"/>
        <v>0</v>
      </c>
      <c r="AE67" s="75">
        <f t="shared" si="58"/>
        <v>0</v>
      </c>
      <c r="AF67" s="40"/>
      <c r="AG67" s="44"/>
      <c r="AH67" s="44"/>
      <c r="AI67" s="44"/>
      <c r="AJ67" s="44"/>
      <c r="AK67" s="44"/>
      <c r="AL67" s="44"/>
      <c r="AM67" s="44"/>
      <c r="AN67" s="44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0"/>
      <c r="K68" s="40"/>
      <c r="L68" s="40"/>
      <c r="M68" s="40"/>
      <c r="N68" s="40"/>
      <c r="O68" s="47">
        <f t="shared" si="50"/>
        <v>0</v>
      </c>
      <c r="P68" s="41">
        <f t="shared" si="51"/>
        <v>0</v>
      </c>
      <c r="Q68" s="41">
        <f t="shared" si="52"/>
        <v>0</v>
      </c>
      <c r="R68" s="40"/>
      <c r="S68" s="40"/>
      <c r="T68" s="42"/>
      <c r="U68" s="74"/>
      <c r="V68" s="38">
        <f t="shared" si="53"/>
        <v>0</v>
      </c>
      <c r="W68" s="56">
        <f t="shared" si="54"/>
        <v>0</v>
      </c>
      <c r="X68" s="62"/>
      <c r="Y68" s="62"/>
      <c r="Z68" s="75">
        <f t="shared" ref="Z68:AE68" si="59">AI68*$O68</f>
        <v>0</v>
      </c>
      <c r="AA68" s="75">
        <f t="shared" si="59"/>
        <v>0</v>
      </c>
      <c r="AB68" s="75">
        <f t="shared" si="59"/>
        <v>0</v>
      </c>
      <c r="AC68" s="75">
        <f t="shared" si="59"/>
        <v>0</v>
      </c>
      <c r="AD68" s="75">
        <f t="shared" si="59"/>
        <v>0</v>
      </c>
      <c r="AE68" s="75">
        <f t="shared" si="59"/>
        <v>0</v>
      </c>
      <c r="AF68" s="40"/>
      <c r="AG68" s="44"/>
      <c r="AH68" s="44"/>
      <c r="AI68" s="44"/>
      <c r="AJ68" s="44"/>
      <c r="AK68" s="44"/>
      <c r="AL68" s="44"/>
      <c r="AM68" s="44"/>
      <c r="AN68" s="44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0"/>
      <c r="K69" s="40"/>
      <c r="L69" s="40"/>
      <c r="M69" s="40"/>
      <c r="N69" s="40"/>
      <c r="O69" s="47">
        <f t="shared" si="50"/>
        <v>0</v>
      </c>
      <c r="P69" s="41">
        <f t="shared" si="51"/>
        <v>0</v>
      </c>
      <c r="Q69" s="41">
        <f t="shared" si="52"/>
        <v>0</v>
      </c>
      <c r="R69" s="40"/>
      <c r="S69" s="40"/>
      <c r="T69" s="42"/>
      <c r="U69" s="74"/>
      <c r="V69" s="38">
        <f t="shared" si="53"/>
        <v>0</v>
      </c>
      <c r="W69" s="56">
        <f t="shared" si="54"/>
        <v>0</v>
      </c>
      <c r="X69" s="62"/>
      <c r="Y69" s="62"/>
      <c r="Z69" s="75">
        <f t="shared" ref="Z69:AE69" si="60">AI69*$O69</f>
        <v>0</v>
      </c>
      <c r="AA69" s="75">
        <f t="shared" si="60"/>
        <v>0</v>
      </c>
      <c r="AB69" s="75">
        <f t="shared" si="60"/>
        <v>0</v>
      </c>
      <c r="AC69" s="75">
        <f t="shared" si="60"/>
        <v>0</v>
      </c>
      <c r="AD69" s="75">
        <f t="shared" si="60"/>
        <v>0</v>
      </c>
      <c r="AE69" s="75">
        <f t="shared" si="60"/>
        <v>0</v>
      </c>
      <c r="AF69" s="40"/>
      <c r="AG69" s="44"/>
      <c r="AH69" s="44"/>
      <c r="AI69" s="44"/>
      <c r="AJ69" s="44"/>
      <c r="AK69" s="44"/>
      <c r="AL69" s="44"/>
      <c r="AM69" s="44"/>
      <c r="AN69" s="44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0"/>
      <c r="K70" s="40"/>
      <c r="L70" s="40"/>
      <c r="M70" s="40"/>
      <c r="N70" s="40"/>
      <c r="O70" s="47">
        <f t="shared" si="50"/>
        <v>0</v>
      </c>
      <c r="P70" s="41">
        <f t="shared" si="51"/>
        <v>0</v>
      </c>
      <c r="Q70" s="41">
        <f t="shared" si="52"/>
        <v>0</v>
      </c>
      <c r="R70" s="40"/>
      <c r="S70" s="40"/>
      <c r="T70" s="42"/>
      <c r="U70" s="74"/>
      <c r="V70" s="38">
        <f t="shared" si="53"/>
        <v>0</v>
      </c>
      <c r="W70" s="56">
        <f t="shared" si="54"/>
        <v>0</v>
      </c>
      <c r="X70" s="62"/>
      <c r="Y70" s="62"/>
      <c r="Z70" s="75">
        <f t="shared" ref="Z70:AE70" si="61">AI70*$O70</f>
        <v>0</v>
      </c>
      <c r="AA70" s="75">
        <f t="shared" si="61"/>
        <v>0</v>
      </c>
      <c r="AB70" s="75">
        <f t="shared" si="61"/>
        <v>0</v>
      </c>
      <c r="AC70" s="75">
        <f t="shared" si="61"/>
        <v>0</v>
      </c>
      <c r="AD70" s="75">
        <f t="shared" si="61"/>
        <v>0</v>
      </c>
      <c r="AE70" s="75">
        <f t="shared" si="61"/>
        <v>0</v>
      </c>
      <c r="AF70" s="40"/>
      <c r="AG70" s="44"/>
      <c r="AH70" s="44"/>
      <c r="AI70" s="44"/>
      <c r="AJ70" s="44"/>
      <c r="AK70" s="44"/>
      <c r="AL70" s="44"/>
      <c r="AM70" s="44"/>
      <c r="AN70" s="44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0"/>
      <c r="K71" s="40"/>
      <c r="L71" s="40"/>
      <c r="M71" s="40"/>
      <c r="N71" s="40"/>
      <c r="O71" s="47">
        <f t="shared" si="50"/>
        <v>0</v>
      </c>
      <c r="P71" s="41">
        <f t="shared" si="51"/>
        <v>0</v>
      </c>
      <c r="Q71" s="41">
        <f t="shared" si="52"/>
        <v>0</v>
      </c>
      <c r="R71" s="40"/>
      <c r="S71" s="40"/>
      <c r="T71" s="42"/>
      <c r="U71" s="74"/>
      <c r="V71" s="38">
        <f t="shared" si="53"/>
        <v>0</v>
      </c>
      <c r="W71" s="56">
        <f t="shared" si="54"/>
        <v>0</v>
      </c>
      <c r="X71" s="62"/>
      <c r="Y71" s="62"/>
      <c r="Z71" s="75">
        <f t="shared" ref="Z71:AE71" si="62">AI71*$O71</f>
        <v>0</v>
      </c>
      <c r="AA71" s="75">
        <f t="shared" si="62"/>
        <v>0</v>
      </c>
      <c r="AB71" s="75">
        <f t="shared" si="62"/>
        <v>0</v>
      </c>
      <c r="AC71" s="75">
        <f t="shared" si="62"/>
        <v>0</v>
      </c>
      <c r="AD71" s="75">
        <f t="shared" si="62"/>
        <v>0</v>
      </c>
      <c r="AE71" s="75">
        <f t="shared" si="62"/>
        <v>0</v>
      </c>
      <c r="AF71" s="40"/>
      <c r="AG71" s="44"/>
      <c r="AH71" s="44"/>
      <c r="AI71" s="44"/>
      <c r="AJ71" s="44"/>
      <c r="AK71" s="44"/>
      <c r="AL71" s="44"/>
      <c r="AM71" s="44"/>
      <c r="AN71" s="44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0"/>
      <c r="K72" s="40"/>
      <c r="L72" s="40"/>
      <c r="M72" s="40"/>
      <c r="N72" s="40"/>
      <c r="O72" s="47">
        <f t="shared" si="50"/>
        <v>0</v>
      </c>
      <c r="P72" s="41">
        <f t="shared" si="51"/>
        <v>0</v>
      </c>
      <c r="Q72" s="41">
        <f t="shared" si="52"/>
        <v>0</v>
      </c>
      <c r="R72" s="40"/>
      <c r="S72" s="40"/>
      <c r="T72" s="42"/>
      <c r="U72" s="74"/>
      <c r="V72" s="38">
        <f t="shared" si="53"/>
        <v>0</v>
      </c>
      <c r="W72" s="56">
        <f t="shared" si="54"/>
        <v>0</v>
      </c>
      <c r="X72" s="62"/>
      <c r="Y72" s="62"/>
      <c r="Z72" s="75">
        <f t="shared" ref="Z72:AE72" si="63">AI72*$O72</f>
        <v>0</v>
      </c>
      <c r="AA72" s="75">
        <f t="shared" si="63"/>
        <v>0</v>
      </c>
      <c r="AB72" s="75">
        <f t="shared" si="63"/>
        <v>0</v>
      </c>
      <c r="AC72" s="75">
        <f t="shared" si="63"/>
        <v>0</v>
      </c>
      <c r="AD72" s="75">
        <f t="shared" si="63"/>
        <v>0</v>
      </c>
      <c r="AE72" s="75">
        <f t="shared" si="63"/>
        <v>0</v>
      </c>
      <c r="AF72" s="40"/>
      <c r="AG72" s="44"/>
      <c r="AH72" s="44"/>
      <c r="AI72" s="44"/>
      <c r="AJ72" s="44"/>
      <c r="AK72" s="44"/>
      <c r="AL72" s="44"/>
      <c r="AM72" s="44"/>
      <c r="AN72" s="44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0"/>
      <c r="K73" s="40"/>
      <c r="L73" s="40"/>
      <c r="M73" s="40"/>
      <c r="N73" s="40"/>
      <c r="O73" s="47">
        <f t="shared" si="50"/>
        <v>0</v>
      </c>
      <c r="P73" s="41">
        <f t="shared" si="51"/>
        <v>0</v>
      </c>
      <c r="Q73" s="41">
        <f t="shared" si="52"/>
        <v>0</v>
      </c>
      <c r="R73" s="40"/>
      <c r="S73" s="40"/>
      <c r="T73" s="42"/>
      <c r="U73" s="74"/>
      <c r="V73" s="38">
        <f t="shared" si="53"/>
        <v>0</v>
      </c>
      <c r="W73" s="56">
        <f t="shared" si="54"/>
        <v>0</v>
      </c>
      <c r="X73" s="62"/>
      <c r="Y73" s="62"/>
      <c r="Z73" s="75">
        <f t="shared" ref="Z73:AE73" si="64">AI73*$O73</f>
        <v>0</v>
      </c>
      <c r="AA73" s="75">
        <f t="shared" si="64"/>
        <v>0</v>
      </c>
      <c r="AB73" s="75">
        <f t="shared" si="64"/>
        <v>0</v>
      </c>
      <c r="AC73" s="75">
        <f t="shared" si="64"/>
        <v>0</v>
      </c>
      <c r="AD73" s="75">
        <f t="shared" si="64"/>
        <v>0</v>
      </c>
      <c r="AE73" s="75">
        <f t="shared" si="64"/>
        <v>0</v>
      </c>
      <c r="AF73" s="40"/>
      <c r="AG73" s="44"/>
      <c r="AH73" s="44"/>
      <c r="AI73" s="44"/>
      <c r="AJ73" s="44"/>
      <c r="AK73" s="44"/>
      <c r="AL73" s="44"/>
      <c r="AM73" s="44"/>
      <c r="AN73" s="44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0"/>
      <c r="K74" s="40"/>
      <c r="L74" s="40"/>
      <c r="M74" s="40"/>
      <c r="N74" s="40"/>
      <c r="O74" s="47">
        <f t="shared" si="50"/>
        <v>0</v>
      </c>
      <c r="P74" s="41">
        <f t="shared" si="51"/>
        <v>0</v>
      </c>
      <c r="Q74" s="41">
        <f t="shared" si="52"/>
        <v>0</v>
      </c>
      <c r="R74" s="40"/>
      <c r="S74" s="40"/>
      <c r="T74" s="42"/>
      <c r="U74" s="74"/>
      <c r="V74" s="38">
        <f t="shared" si="53"/>
        <v>0</v>
      </c>
      <c r="W74" s="56">
        <f t="shared" si="54"/>
        <v>0</v>
      </c>
      <c r="X74" s="62"/>
      <c r="Y74" s="62"/>
      <c r="Z74" s="75">
        <f t="shared" ref="Z74:AE74" si="65">AI74*$O74</f>
        <v>0</v>
      </c>
      <c r="AA74" s="75">
        <f t="shared" si="65"/>
        <v>0</v>
      </c>
      <c r="AB74" s="75">
        <f t="shared" si="65"/>
        <v>0</v>
      </c>
      <c r="AC74" s="75">
        <f t="shared" si="65"/>
        <v>0</v>
      </c>
      <c r="AD74" s="75">
        <f t="shared" si="65"/>
        <v>0</v>
      </c>
      <c r="AE74" s="75">
        <f t="shared" si="65"/>
        <v>0</v>
      </c>
      <c r="AF74" s="40"/>
      <c r="AG74" s="44"/>
      <c r="AH74" s="44"/>
      <c r="AI74" s="44"/>
      <c r="AJ74" s="44"/>
      <c r="AK74" s="44"/>
      <c r="AL74" s="44"/>
      <c r="AM74" s="44"/>
      <c r="AN74" s="44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0"/>
      <c r="K75" s="40"/>
      <c r="L75" s="40"/>
      <c r="M75" s="40"/>
      <c r="N75" s="40"/>
      <c r="O75" s="47">
        <f t="shared" si="50"/>
        <v>0</v>
      </c>
      <c r="P75" s="41">
        <f t="shared" si="51"/>
        <v>0</v>
      </c>
      <c r="Q75" s="41">
        <f t="shared" si="52"/>
        <v>0</v>
      </c>
      <c r="R75" s="40"/>
      <c r="S75" s="40"/>
      <c r="T75" s="42"/>
      <c r="U75" s="74"/>
      <c r="V75" s="38">
        <f t="shared" si="53"/>
        <v>0</v>
      </c>
      <c r="W75" s="56">
        <f t="shared" si="54"/>
        <v>0</v>
      </c>
      <c r="X75" s="62"/>
      <c r="Y75" s="62"/>
      <c r="Z75" s="75">
        <f t="shared" ref="Z75:AE75" si="66">AI75*$O75</f>
        <v>0</v>
      </c>
      <c r="AA75" s="75">
        <f t="shared" si="66"/>
        <v>0</v>
      </c>
      <c r="AB75" s="75">
        <f t="shared" si="66"/>
        <v>0</v>
      </c>
      <c r="AC75" s="75">
        <f t="shared" si="66"/>
        <v>0</v>
      </c>
      <c r="AD75" s="75">
        <f t="shared" si="66"/>
        <v>0</v>
      </c>
      <c r="AE75" s="75">
        <f t="shared" si="66"/>
        <v>0</v>
      </c>
      <c r="AF75" s="40"/>
      <c r="AG75" s="44"/>
      <c r="AH75" s="44"/>
      <c r="AI75" s="44"/>
      <c r="AJ75" s="44"/>
      <c r="AK75" s="44"/>
      <c r="AL75" s="44"/>
      <c r="AM75" s="44"/>
      <c r="AN75" s="44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0"/>
      <c r="K76" s="40"/>
      <c r="L76" s="40"/>
      <c r="M76" s="40"/>
      <c r="N76" s="40"/>
      <c r="O76" s="47">
        <f t="shared" si="50"/>
        <v>0</v>
      </c>
      <c r="P76" s="41">
        <f t="shared" si="51"/>
        <v>0</v>
      </c>
      <c r="Q76" s="41">
        <f t="shared" si="52"/>
        <v>0</v>
      </c>
      <c r="R76" s="40"/>
      <c r="S76" s="40"/>
      <c r="T76" s="42"/>
      <c r="U76" s="74"/>
      <c r="V76" s="38">
        <f t="shared" si="53"/>
        <v>0</v>
      </c>
      <c r="W76" s="56">
        <f t="shared" si="54"/>
        <v>0</v>
      </c>
      <c r="X76" s="62"/>
      <c r="Y76" s="62"/>
      <c r="Z76" s="75">
        <f t="shared" ref="Z76:AE76" si="67">AI76*$O76</f>
        <v>0</v>
      </c>
      <c r="AA76" s="75">
        <f t="shared" si="67"/>
        <v>0</v>
      </c>
      <c r="AB76" s="75">
        <f t="shared" si="67"/>
        <v>0</v>
      </c>
      <c r="AC76" s="75">
        <f t="shared" si="67"/>
        <v>0</v>
      </c>
      <c r="AD76" s="75">
        <f t="shared" si="67"/>
        <v>0</v>
      </c>
      <c r="AE76" s="75">
        <f t="shared" si="67"/>
        <v>0</v>
      </c>
      <c r="AF76" s="40"/>
      <c r="AG76" s="44"/>
      <c r="AH76" s="44"/>
      <c r="AI76" s="44"/>
      <c r="AJ76" s="44"/>
      <c r="AK76" s="44"/>
      <c r="AL76" s="44"/>
      <c r="AM76" s="44"/>
      <c r="AN76" s="44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0"/>
      <c r="K77" s="40"/>
      <c r="L77" s="40"/>
      <c r="M77" s="40"/>
      <c r="N77" s="40"/>
      <c r="O77" s="47">
        <f t="shared" si="50"/>
        <v>0</v>
      </c>
      <c r="P77" s="41">
        <f t="shared" si="51"/>
        <v>0</v>
      </c>
      <c r="Q77" s="41">
        <f t="shared" si="52"/>
        <v>0</v>
      </c>
      <c r="R77" s="40"/>
      <c r="S77" s="40"/>
      <c r="T77" s="42"/>
      <c r="U77" s="74"/>
      <c r="V77" s="38">
        <f t="shared" si="53"/>
        <v>0</v>
      </c>
      <c r="W77" s="56">
        <f t="shared" si="54"/>
        <v>0</v>
      </c>
      <c r="X77" s="62"/>
      <c r="Y77" s="62"/>
      <c r="Z77" s="75">
        <f t="shared" ref="Z77:AE77" si="68">AI77*$O77</f>
        <v>0</v>
      </c>
      <c r="AA77" s="75">
        <f t="shared" si="68"/>
        <v>0</v>
      </c>
      <c r="AB77" s="75">
        <f t="shared" si="68"/>
        <v>0</v>
      </c>
      <c r="AC77" s="75">
        <f t="shared" si="68"/>
        <v>0</v>
      </c>
      <c r="AD77" s="75">
        <f t="shared" si="68"/>
        <v>0</v>
      </c>
      <c r="AE77" s="75">
        <f t="shared" si="68"/>
        <v>0</v>
      </c>
      <c r="AF77" s="40"/>
      <c r="AG77" s="44"/>
      <c r="AH77" s="44"/>
      <c r="AI77" s="44"/>
      <c r="AJ77" s="44"/>
      <c r="AK77" s="44"/>
      <c r="AL77" s="44"/>
      <c r="AM77" s="44"/>
      <c r="AN77" s="44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0"/>
      <c r="K78" s="40"/>
      <c r="L78" s="40"/>
      <c r="M78" s="40"/>
      <c r="N78" s="40"/>
      <c r="O78" s="47">
        <f t="shared" si="50"/>
        <v>0</v>
      </c>
      <c r="P78" s="41">
        <f t="shared" si="51"/>
        <v>0</v>
      </c>
      <c r="Q78" s="41">
        <f t="shared" si="52"/>
        <v>0</v>
      </c>
      <c r="R78" s="40"/>
      <c r="S78" s="40"/>
      <c r="T78" s="42"/>
      <c r="U78" s="74"/>
      <c r="V78" s="38">
        <f t="shared" si="53"/>
        <v>0</v>
      </c>
      <c r="W78" s="56">
        <f t="shared" si="54"/>
        <v>0</v>
      </c>
      <c r="X78" s="62"/>
      <c r="Y78" s="62"/>
      <c r="Z78" s="75">
        <f t="shared" ref="Z78:AE78" si="69">AI78*$O78</f>
        <v>0</v>
      </c>
      <c r="AA78" s="75">
        <f t="shared" si="69"/>
        <v>0</v>
      </c>
      <c r="AB78" s="75">
        <f t="shared" si="69"/>
        <v>0</v>
      </c>
      <c r="AC78" s="75">
        <f t="shared" si="69"/>
        <v>0</v>
      </c>
      <c r="AD78" s="75">
        <f t="shared" si="69"/>
        <v>0</v>
      </c>
      <c r="AE78" s="75">
        <f t="shared" si="69"/>
        <v>0</v>
      </c>
      <c r="AF78" s="40"/>
      <c r="AG78" s="44"/>
      <c r="AH78" s="44"/>
      <c r="AI78" s="44"/>
      <c r="AJ78" s="44"/>
      <c r="AK78" s="44"/>
      <c r="AL78" s="44"/>
      <c r="AM78" s="44"/>
      <c r="AN78" s="44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0"/>
      <c r="K79" s="40"/>
      <c r="L79" s="40"/>
      <c r="M79" s="40"/>
      <c r="N79" s="40"/>
      <c r="O79" s="47">
        <f t="shared" si="50"/>
        <v>0</v>
      </c>
      <c r="P79" s="41">
        <f t="shared" si="51"/>
        <v>0</v>
      </c>
      <c r="Q79" s="41">
        <f t="shared" si="52"/>
        <v>0</v>
      </c>
      <c r="R79" s="40"/>
      <c r="S79" s="40"/>
      <c r="T79" s="42"/>
      <c r="U79" s="74"/>
      <c r="V79" s="38">
        <f t="shared" si="53"/>
        <v>0</v>
      </c>
      <c r="W79" s="56">
        <f t="shared" si="54"/>
        <v>0</v>
      </c>
      <c r="X79" s="62"/>
      <c r="Y79" s="62"/>
      <c r="Z79" s="75">
        <f t="shared" ref="Z79:AE79" si="70">AI79*$O79</f>
        <v>0</v>
      </c>
      <c r="AA79" s="75">
        <f t="shared" si="70"/>
        <v>0</v>
      </c>
      <c r="AB79" s="75">
        <f t="shared" si="70"/>
        <v>0</v>
      </c>
      <c r="AC79" s="75">
        <f t="shared" si="70"/>
        <v>0</v>
      </c>
      <c r="AD79" s="75">
        <f t="shared" si="70"/>
        <v>0</v>
      </c>
      <c r="AE79" s="75">
        <f t="shared" si="70"/>
        <v>0</v>
      </c>
      <c r="AF79" s="40"/>
      <c r="AG79" s="44"/>
      <c r="AH79" s="44"/>
      <c r="AI79" s="44"/>
      <c r="AJ79" s="44"/>
      <c r="AK79" s="44"/>
      <c r="AL79" s="44"/>
      <c r="AM79" s="44"/>
      <c r="AN79" s="44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0"/>
      <c r="K80" s="40"/>
      <c r="L80" s="40"/>
      <c r="M80" s="40"/>
      <c r="N80" s="40"/>
      <c r="O80" s="47">
        <f t="shared" si="50"/>
        <v>0</v>
      </c>
      <c r="P80" s="41">
        <f t="shared" si="51"/>
        <v>0</v>
      </c>
      <c r="Q80" s="41">
        <f t="shared" si="52"/>
        <v>0</v>
      </c>
      <c r="R80" s="40"/>
      <c r="S80" s="40"/>
      <c r="T80" s="42"/>
      <c r="U80" s="74"/>
      <c r="V80" s="38">
        <f t="shared" si="53"/>
        <v>0</v>
      </c>
      <c r="W80" s="56">
        <f t="shared" si="54"/>
        <v>0</v>
      </c>
      <c r="X80" s="62"/>
      <c r="Y80" s="62"/>
      <c r="Z80" s="75">
        <f t="shared" ref="Z80:AE80" si="71">AI80*$O80</f>
        <v>0</v>
      </c>
      <c r="AA80" s="75">
        <f t="shared" si="71"/>
        <v>0</v>
      </c>
      <c r="AB80" s="75">
        <f t="shared" si="71"/>
        <v>0</v>
      </c>
      <c r="AC80" s="75">
        <f t="shared" si="71"/>
        <v>0</v>
      </c>
      <c r="AD80" s="75">
        <f t="shared" si="71"/>
        <v>0</v>
      </c>
      <c r="AE80" s="75">
        <f t="shared" si="71"/>
        <v>0</v>
      </c>
      <c r="AF80" s="40"/>
      <c r="AG80" s="44"/>
      <c r="AH80" s="44"/>
      <c r="AI80" s="44"/>
      <c r="AJ80" s="44"/>
      <c r="AK80" s="44"/>
      <c r="AL80" s="44"/>
      <c r="AM80" s="44"/>
      <c r="AN80" s="44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0"/>
      <c r="K81" s="40"/>
      <c r="L81" s="40"/>
      <c r="M81" s="40"/>
      <c r="N81" s="40"/>
      <c r="O81" s="47">
        <f t="shared" si="50"/>
        <v>0</v>
      </c>
      <c r="P81" s="41">
        <f t="shared" si="51"/>
        <v>0</v>
      </c>
      <c r="Q81" s="41">
        <f t="shared" si="52"/>
        <v>0</v>
      </c>
      <c r="R81" s="40"/>
      <c r="S81" s="40"/>
      <c r="T81" s="42"/>
      <c r="U81" s="74"/>
      <c r="V81" s="38">
        <f t="shared" si="53"/>
        <v>0</v>
      </c>
      <c r="W81" s="56">
        <f t="shared" si="54"/>
        <v>0</v>
      </c>
      <c r="X81" s="62"/>
      <c r="Y81" s="62"/>
      <c r="Z81" s="75">
        <f t="shared" ref="Z81:AE81" si="72">AI81*$O81</f>
        <v>0</v>
      </c>
      <c r="AA81" s="75">
        <f t="shared" si="72"/>
        <v>0</v>
      </c>
      <c r="AB81" s="75">
        <f t="shared" si="72"/>
        <v>0</v>
      </c>
      <c r="AC81" s="75">
        <f t="shared" si="72"/>
        <v>0</v>
      </c>
      <c r="AD81" s="75">
        <f t="shared" si="72"/>
        <v>0</v>
      </c>
      <c r="AE81" s="75">
        <f t="shared" si="72"/>
        <v>0</v>
      </c>
      <c r="AF81" s="40"/>
      <c r="AG81" s="44"/>
      <c r="AH81" s="44"/>
      <c r="AI81" s="44"/>
      <c r="AJ81" s="44"/>
      <c r="AK81" s="44"/>
      <c r="AL81" s="44"/>
      <c r="AM81" s="44"/>
      <c r="AN81" s="44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0"/>
      <c r="K82" s="40"/>
      <c r="L82" s="40"/>
      <c r="M82" s="40"/>
      <c r="N82" s="40"/>
      <c r="O82" s="47">
        <f t="shared" si="50"/>
        <v>0</v>
      </c>
      <c r="P82" s="41">
        <f t="shared" si="51"/>
        <v>0</v>
      </c>
      <c r="Q82" s="41">
        <f t="shared" si="52"/>
        <v>0</v>
      </c>
      <c r="R82" s="40"/>
      <c r="S82" s="40"/>
      <c r="T82" s="42"/>
      <c r="U82" s="74"/>
      <c r="V82" s="38">
        <f t="shared" si="53"/>
        <v>0</v>
      </c>
      <c r="W82" s="56">
        <f t="shared" si="54"/>
        <v>0</v>
      </c>
      <c r="X82" s="62"/>
      <c r="Y82" s="62"/>
      <c r="Z82" s="75">
        <f t="shared" ref="Z82:AA82" si="73">AI82*$O82</f>
        <v>0</v>
      </c>
      <c r="AA82" s="75">
        <f t="shared" si="73"/>
        <v>0</v>
      </c>
      <c r="AB82" s="62"/>
      <c r="AC82" s="62"/>
      <c r="AD82" s="62"/>
      <c r="AE82" s="62"/>
      <c r="AF82" s="40"/>
      <c r="AG82" s="44"/>
      <c r="AH82" s="44"/>
      <c r="AI82" s="44"/>
      <c r="AJ82" s="44"/>
      <c r="AK82" s="44"/>
      <c r="AL82" s="44"/>
      <c r="AM82" s="44"/>
      <c r="AN82" s="44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0"/>
      <c r="K83" s="40"/>
      <c r="L83" s="40"/>
      <c r="M83" s="40"/>
      <c r="N83" s="40"/>
      <c r="O83" s="47">
        <f t="shared" si="50"/>
        <v>0</v>
      </c>
      <c r="P83" s="41">
        <f t="shared" si="51"/>
        <v>0</v>
      </c>
      <c r="Q83" s="41">
        <f t="shared" si="52"/>
        <v>0</v>
      </c>
      <c r="R83" s="40"/>
      <c r="S83" s="40"/>
      <c r="T83" s="42"/>
      <c r="U83" s="74"/>
      <c r="V83" s="38">
        <f t="shared" si="53"/>
        <v>0</v>
      </c>
      <c r="W83" s="56">
        <f t="shared" si="54"/>
        <v>0</v>
      </c>
      <c r="X83" s="62"/>
      <c r="Y83" s="62"/>
      <c r="Z83" s="75">
        <f t="shared" ref="Z83:AE83" si="74">AI83*$O83</f>
        <v>0</v>
      </c>
      <c r="AA83" s="75">
        <f t="shared" si="74"/>
        <v>0</v>
      </c>
      <c r="AB83" s="75">
        <f t="shared" si="74"/>
        <v>0</v>
      </c>
      <c r="AC83" s="75">
        <f t="shared" si="74"/>
        <v>0</v>
      </c>
      <c r="AD83" s="75">
        <f t="shared" si="74"/>
        <v>0</v>
      </c>
      <c r="AE83" s="75">
        <f t="shared" si="74"/>
        <v>0</v>
      </c>
      <c r="AF83" s="40"/>
      <c r="AG83" s="44"/>
      <c r="AH83" s="44"/>
      <c r="AI83" s="44"/>
      <c r="AJ83" s="44"/>
      <c r="AK83" s="44"/>
      <c r="AL83" s="44"/>
      <c r="AM83" s="44"/>
      <c r="AN83" s="44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0"/>
      <c r="K84" s="40"/>
      <c r="L84" s="40"/>
      <c r="M84" s="40"/>
      <c r="N84" s="40"/>
      <c r="O84" s="47">
        <f t="shared" si="50"/>
        <v>0</v>
      </c>
      <c r="P84" s="41">
        <f t="shared" si="51"/>
        <v>0</v>
      </c>
      <c r="Q84" s="41">
        <f t="shared" si="52"/>
        <v>0</v>
      </c>
      <c r="R84" s="40"/>
      <c r="S84" s="40"/>
      <c r="T84" s="42"/>
      <c r="U84" s="74"/>
      <c r="V84" s="38">
        <f t="shared" si="53"/>
        <v>0</v>
      </c>
      <c r="W84" s="56">
        <f t="shared" si="54"/>
        <v>0</v>
      </c>
      <c r="X84" s="62"/>
      <c r="Y84" s="62"/>
      <c r="Z84" s="75">
        <f t="shared" ref="Z84:AE84" si="75">AI84*$O84</f>
        <v>0</v>
      </c>
      <c r="AA84" s="75">
        <f t="shared" si="75"/>
        <v>0</v>
      </c>
      <c r="AB84" s="75">
        <f t="shared" si="75"/>
        <v>0</v>
      </c>
      <c r="AC84" s="75">
        <f t="shared" si="75"/>
        <v>0</v>
      </c>
      <c r="AD84" s="75">
        <f t="shared" si="75"/>
        <v>0</v>
      </c>
      <c r="AE84" s="75">
        <f t="shared" si="75"/>
        <v>0</v>
      </c>
      <c r="AF84" s="40"/>
      <c r="AG84" s="44"/>
      <c r="AH84" s="44"/>
      <c r="AI84" s="44"/>
      <c r="AJ84" s="44"/>
      <c r="AK84" s="44"/>
      <c r="AL84" s="44"/>
      <c r="AM84" s="44"/>
      <c r="AN84" s="44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90"/>
      <c r="Q85" s="8"/>
      <c r="R85" s="8"/>
      <c r="S85" s="8"/>
      <c r="T85" s="34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90"/>
      <c r="Q86" s="8"/>
      <c r="R86" s="8"/>
      <c r="S86" s="8"/>
      <c r="T86" s="34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90"/>
      <c r="Q87" s="8"/>
      <c r="R87" s="8"/>
      <c r="S87" s="8"/>
      <c r="T87" s="34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90"/>
      <c r="Q88" s="8"/>
      <c r="R88" s="8"/>
      <c r="S88" s="8"/>
      <c r="T88" s="34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90"/>
      <c r="Q89" s="8"/>
      <c r="R89" s="8"/>
      <c r="S89" s="8"/>
      <c r="T89" s="34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90"/>
      <c r="Q90" s="8"/>
      <c r="R90" s="8"/>
      <c r="S90" s="8"/>
      <c r="T90" s="34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90"/>
      <c r="Q91" s="8"/>
      <c r="R91" s="8"/>
      <c r="S91" s="8"/>
      <c r="T91" s="34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90"/>
      <c r="Q92" s="8"/>
      <c r="R92" s="8"/>
      <c r="S92" s="8"/>
      <c r="T92" s="34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90"/>
      <c r="Q93" s="8"/>
      <c r="R93" s="8"/>
      <c r="S93" s="8"/>
      <c r="T93" s="34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90"/>
      <c r="Q94" s="8"/>
      <c r="R94" s="8"/>
      <c r="S94" s="8"/>
      <c r="T94" s="34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90"/>
      <c r="Q95" s="8"/>
      <c r="R95" s="8"/>
      <c r="S95" s="8"/>
      <c r="T95" s="34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90"/>
      <c r="Q96" s="8"/>
      <c r="R96" s="8"/>
      <c r="S96" s="8"/>
      <c r="T96" s="34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90"/>
      <c r="Q97" s="8"/>
      <c r="R97" s="8"/>
      <c r="S97" s="8"/>
      <c r="T97" s="34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90"/>
      <c r="Q98" s="8"/>
      <c r="R98" s="8"/>
      <c r="S98" s="8"/>
      <c r="T98" s="34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90"/>
      <c r="Q99" s="8"/>
      <c r="R99" s="8"/>
      <c r="S99" s="8"/>
      <c r="T99" s="34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90"/>
      <c r="Q100" s="8"/>
      <c r="R100" s="8"/>
      <c r="S100" s="8"/>
      <c r="T100" s="34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90"/>
      <c r="Q101" s="8"/>
      <c r="R101" s="8"/>
      <c r="S101" s="8"/>
      <c r="T101" s="34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90"/>
      <c r="Q102" s="8"/>
      <c r="R102" s="8"/>
      <c r="S102" s="8"/>
      <c r="T102" s="34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90"/>
      <c r="Q103" s="8"/>
      <c r="R103" s="8"/>
      <c r="S103" s="8"/>
      <c r="T103" s="34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90"/>
      <c r="Q104" s="8"/>
      <c r="R104" s="8"/>
      <c r="S104" s="8"/>
      <c r="T104" s="34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90"/>
      <c r="Q105" s="8"/>
      <c r="R105" s="8"/>
      <c r="S105" s="8"/>
      <c r="T105" s="34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90"/>
      <c r="Q106" s="8"/>
      <c r="R106" s="8"/>
      <c r="S106" s="8"/>
      <c r="T106" s="34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90"/>
      <c r="Q107" s="8"/>
      <c r="R107" s="8"/>
      <c r="S107" s="8"/>
      <c r="T107" s="34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90"/>
      <c r="Q108" s="8"/>
      <c r="R108" s="8"/>
      <c r="S108" s="8"/>
      <c r="T108" s="34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90"/>
      <c r="Q109" s="8"/>
      <c r="R109" s="8"/>
      <c r="S109" s="8"/>
      <c r="T109" s="34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90"/>
      <c r="Q110" s="8"/>
      <c r="R110" s="8"/>
      <c r="S110" s="8"/>
      <c r="T110" s="34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90"/>
      <c r="Q111" s="8"/>
      <c r="R111" s="8"/>
      <c r="S111" s="8"/>
      <c r="T111" s="34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90"/>
      <c r="Q112" s="8"/>
      <c r="R112" s="8"/>
      <c r="S112" s="8"/>
      <c r="T112" s="34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90"/>
      <c r="Q113" s="8"/>
      <c r="R113" s="8"/>
      <c r="S113" s="8"/>
      <c r="T113" s="34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90"/>
      <c r="Q114" s="8"/>
      <c r="R114" s="8"/>
      <c r="S114" s="8"/>
      <c r="T114" s="34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90"/>
      <c r="Q115" s="8"/>
      <c r="R115" s="8"/>
      <c r="S115" s="8"/>
      <c r="T115" s="34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90"/>
      <c r="Q116" s="8"/>
      <c r="R116" s="8"/>
      <c r="S116" s="8"/>
      <c r="T116" s="34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90"/>
      <c r="Q117" s="8"/>
      <c r="R117" s="8"/>
      <c r="S117" s="8"/>
      <c r="T117" s="34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90"/>
      <c r="Q118" s="8"/>
      <c r="R118" s="8"/>
      <c r="S118" s="8"/>
      <c r="T118" s="34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90"/>
      <c r="Q119" s="8"/>
      <c r="R119" s="8"/>
      <c r="S119" s="8"/>
      <c r="T119" s="34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90"/>
      <c r="Q120" s="8"/>
      <c r="R120" s="8"/>
      <c r="S120" s="8"/>
      <c r="T120" s="34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90"/>
      <c r="Q121" s="8"/>
      <c r="R121" s="8"/>
      <c r="S121" s="8"/>
      <c r="T121" s="34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90"/>
      <c r="Q122" s="8"/>
      <c r="R122" s="8"/>
      <c r="S122" s="8"/>
      <c r="T122" s="34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90"/>
      <c r="Q123" s="8"/>
      <c r="R123" s="8"/>
      <c r="S123" s="8"/>
      <c r="T123" s="34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90"/>
      <c r="Q124" s="8"/>
      <c r="R124" s="8"/>
      <c r="S124" s="8"/>
      <c r="T124" s="34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90"/>
      <c r="Q125" s="8"/>
      <c r="R125" s="8"/>
      <c r="S125" s="8"/>
      <c r="T125" s="34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90"/>
      <c r="Q126" s="8"/>
      <c r="R126" s="8"/>
      <c r="S126" s="8"/>
      <c r="T126" s="34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90"/>
      <c r="Q127" s="8"/>
      <c r="R127" s="8"/>
      <c r="S127" s="8"/>
      <c r="T127" s="34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90"/>
      <c r="Q128" s="8"/>
      <c r="R128" s="8"/>
      <c r="S128" s="8"/>
      <c r="T128" s="34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90"/>
      <c r="Q129" s="8"/>
      <c r="R129" s="8"/>
      <c r="S129" s="8"/>
      <c r="T129" s="34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90"/>
      <c r="Q130" s="8"/>
      <c r="R130" s="8"/>
      <c r="S130" s="8"/>
      <c r="T130" s="34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90"/>
      <c r="Q131" s="8"/>
      <c r="R131" s="8"/>
      <c r="S131" s="8"/>
      <c r="T131" s="34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90"/>
      <c r="Q132" s="8"/>
      <c r="R132" s="8"/>
      <c r="S132" s="8"/>
      <c r="T132" s="34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90"/>
      <c r="Q133" s="8"/>
      <c r="R133" s="8"/>
      <c r="S133" s="8"/>
      <c r="T133" s="34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90"/>
      <c r="Q134" s="8"/>
      <c r="R134" s="8"/>
      <c r="S134" s="8"/>
      <c r="T134" s="34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90"/>
      <c r="Q135" s="8"/>
      <c r="R135" s="8"/>
      <c r="S135" s="8"/>
      <c r="T135" s="34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90"/>
      <c r="Q136" s="8"/>
      <c r="R136" s="8"/>
      <c r="S136" s="8"/>
      <c r="T136" s="34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90"/>
      <c r="Q137" s="8"/>
      <c r="R137" s="8"/>
      <c r="S137" s="8"/>
      <c r="T137" s="34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90"/>
      <c r="Q138" s="8"/>
      <c r="R138" s="8"/>
      <c r="S138" s="8"/>
      <c r="T138" s="34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90"/>
      <c r="Q139" s="8"/>
      <c r="R139" s="8"/>
      <c r="S139" s="8"/>
      <c r="T139" s="34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90"/>
      <c r="Q140" s="8"/>
      <c r="R140" s="8"/>
      <c r="S140" s="8"/>
      <c r="T140" s="34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90"/>
      <c r="Q141" s="8"/>
      <c r="R141" s="8"/>
      <c r="S141" s="8"/>
      <c r="T141" s="34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90"/>
      <c r="Q142" s="8"/>
      <c r="R142" s="8"/>
      <c r="S142" s="8"/>
      <c r="T142" s="34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90"/>
      <c r="Q143" s="8"/>
      <c r="R143" s="8"/>
      <c r="S143" s="8"/>
      <c r="T143" s="34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90"/>
      <c r="Q144" s="8"/>
      <c r="R144" s="8"/>
      <c r="S144" s="8"/>
      <c r="T144" s="34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90"/>
      <c r="Q145" s="8"/>
      <c r="R145" s="8"/>
      <c r="S145" s="8"/>
      <c r="T145" s="34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90"/>
      <c r="Q146" s="8"/>
      <c r="R146" s="8"/>
      <c r="S146" s="8"/>
      <c r="T146" s="34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90"/>
      <c r="Q147" s="8"/>
      <c r="R147" s="8"/>
      <c r="S147" s="8"/>
      <c r="T147" s="34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90"/>
      <c r="Q148" s="8"/>
      <c r="R148" s="8"/>
      <c r="S148" s="8"/>
      <c r="T148" s="34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90"/>
      <c r="Q149" s="8"/>
      <c r="R149" s="8"/>
      <c r="S149" s="8"/>
      <c r="T149" s="34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90"/>
      <c r="Q150" s="8"/>
      <c r="R150" s="8"/>
      <c r="S150" s="8"/>
      <c r="T150" s="34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90"/>
      <c r="Q151" s="8"/>
      <c r="R151" s="8"/>
      <c r="S151" s="8"/>
      <c r="T151" s="34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90"/>
      <c r="Q152" s="8"/>
      <c r="R152" s="8"/>
      <c r="S152" s="8"/>
      <c r="T152" s="34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90"/>
      <c r="Q153" s="8"/>
      <c r="R153" s="8"/>
      <c r="S153" s="8"/>
      <c r="T153" s="34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90"/>
      <c r="Q154" s="8"/>
      <c r="R154" s="8"/>
      <c r="S154" s="8"/>
      <c r="T154" s="34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90"/>
      <c r="Q155" s="8"/>
      <c r="R155" s="8"/>
      <c r="S155" s="8"/>
      <c r="T155" s="34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90"/>
      <c r="Q156" s="8"/>
      <c r="R156" s="8"/>
      <c r="S156" s="8"/>
      <c r="T156" s="34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90"/>
      <c r="Q157" s="8"/>
      <c r="R157" s="8"/>
      <c r="S157" s="8"/>
      <c r="T157" s="34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90"/>
      <c r="Q158" s="8"/>
      <c r="R158" s="8"/>
      <c r="S158" s="8"/>
      <c r="T158" s="34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90"/>
      <c r="Q159" s="8"/>
      <c r="R159" s="8"/>
      <c r="S159" s="8"/>
      <c r="T159" s="34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90"/>
      <c r="Q160" s="8"/>
      <c r="R160" s="8"/>
      <c r="S160" s="8"/>
      <c r="T160" s="34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90"/>
      <c r="Q161" s="8"/>
      <c r="R161" s="8"/>
      <c r="S161" s="8"/>
      <c r="T161" s="34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90"/>
      <c r="Q162" s="8"/>
      <c r="R162" s="8"/>
      <c r="S162" s="8"/>
      <c r="T162" s="34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90"/>
      <c r="Q163" s="8"/>
      <c r="R163" s="8"/>
      <c r="S163" s="8"/>
      <c r="T163" s="34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90"/>
      <c r="Q164" s="8"/>
      <c r="R164" s="8"/>
      <c r="S164" s="8"/>
      <c r="T164" s="34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90"/>
      <c r="Q165" s="8"/>
      <c r="R165" s="8"/>
      <c r="S165" s="8"/>
      <c r="T165" s="34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90"/>
      <c r="Q166" s="8"/>
      <c r="R166" s="8"/>
      <c r="S166" s="8"/>
      <c r="T166" s="34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90"/>
      <c r="Q167" s="8"/>
      <c r="R167" s="8"/>
      <c r="S167" s="8"/>
      <c r="T167" s="34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90"/>
      <c r="Q168" s="8"/>
      <c r="R168" s="8"/>
      <c r="S168" s="8"/>
      <c r="T168" s="34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90"/>
      <c r="Q169" s="8"/>
      <c r="R169" s="8"/>
      <c r="S169" s="8"/>
      <c r="T169" s="34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90"/>
      <c r="Q170" s="8"/>
      <c r="R170" s="8"/>
      <c r="S170" s="8"/>
      <c r="T170" s="34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90"/>
      <c r="Q171" s="8"/>
      <c r="R171" s="8"/>
      <c r="S171" s="8"/>
      <c r="T171" s="34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90"/>
      <c r="Q172" s="8"/>
      <c r="R172" s="8"/>
      <c r="S172" s="8"/>
      <c r="T172" s="34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90"/>
      <c r="Q173" s="8"/>
      <c r="R173" s="8"/>
      <c r="S173" s="8"/>
      <c r="T173" s="34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90"/>
      <c r="Q174" s="8"/>
      <c r="R174" s="8"/>
      <c r="S174" s="8"/>
      <c r="T174" s="34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90"/>
      <c r="Q175" s="8"/>
      <c r="R175" s="8"/>
      <c r="S175" s="8"/>
      <c r="T175" s="34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90"/>
      <c r="Q176" s="8"/>
      <c r="R176" s="8"/>
      <c r="S176" s="8"/>
      <c r="T176" s="34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90"/>
      <c r="Q177" s="8"/>
      <c r="R177" s="8"/>
      <c r="S177" s="8"/>
      <c r="T177" s="34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90"/>
      <c r="Q178" s="8"/>
      <c r="R178" s="8"/>
      <c r="S178" s="8"/>
      <c r="T178" s="34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90"/>
      <c r="Q179" s="8"/>
      <c r="R179" s="8"/>
      <c r="S179" s="8"/>
      <c r="T179" s="34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90"/>
      <c r="Q180" s="8"/>
      <c r="R180" s="8"/>
      <c r="S180" s="8"/>
      <c r="T180" s="34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90"/>
      <c r="Q181" s="8"/>
      <c r="R181" s="8"/>
      <c r="S181" s="8"/>
      <c r="T181" s="34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90"/>
      <c r="Q182" s="8"/>
      <c r="R182" s="8"/>
      <c r="S182" s="8"/>
      <c r="T182" s="34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90"/>
      <c r="Q183" s="8"/>
      <c r="R183" s="8"/>
      <c r="S183" s="8"/>
      <c r="T183" s="34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90"/>
      <c r="Q184" s="8"/>
      <c r="R184" s="8"/>
      <c r="S184" s="8"/>
      <c r="T184" s="34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90"/>
      <c r="Q185" s="8"/>
      <c r="R185" s="8"/>
      <c r="S185" s="8"/>
      <c r="T185" s="34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90"/>
      <c r="Q186" s="8"/>
      <c r="R186" s="8"/>
      <c r="S186" s="8"/>
      <c r="T186" s="34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90"/>
      <c r="Q187" s="8"/>
      <c r="R187" s="8"/>
      <c r="S187" s="8"/>
      <c r="T187" s="34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90"/>
      <c r="Q188" s="8"/>
      <c r="R188" s="8"/>
      <c r="S188" s="8"/>
      <c r="T188" s="34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90"/>
      <c r="Q189" s="8"/>
      <c r="R189" s="8"/>
      <c r="S189" s="8"/>
      <c r="T189" s="34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90"/>
      <c r="Q190" s="8"/>
      <c r="R190" s="8"/>
      <c r="S190" s="8"/>
      <c r="T190" s="34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90"/>
      <c r="Q191" s="8"/>
      <c r="R191" s="8"/>
      <c r="S191" s="8"/>
      <c r="T191" s="34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90"/>
      <c r="Q192" s="8"/>
      <c r="R192" s="8"/>
      <c r="S192" s="8"/>
      <c r="T192" s="34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90"/>
      <c r="Q193" s="8"/>
      <c r="R193" s="8"/>
      <c r="S193" s="8"/>
      <c r="T193" s="34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90"/>
      <c r="Q194" s="8"/>
      <c r="R194" s="8"/>
      <c r="S194" s="8"/>
      <c r="T194" s="34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90"/>
      <c r="Q195" s="8"/>
      <c r="R195" s="8"/>
      <c r="S195" s="8"/>
      <c r="T195" s="34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90"/>
      <c r="Q196" s="8"/>
      <c r="R196" s="8"/>
      <c r="S196" s="8"/>
      <c r="T196" s="34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90"/>
      <c r="Q197" s="8"/>
      <c r="R197" s="8"/>
      <c r="S197" s="8"/>
      <c r="T197" s="34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90"/>
      <c r="R198" s="8"/>
      <c r="S198" s="8"/>
      <c r="T198" s="8"/>
      <c r="U198" s="34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90"/>
      <c r="R199" s="8"/>
      <c r="S199" s="8"/>
      <c r="T199" s="8"/>
      <c r="U199" s="34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90"/>
      <c r="R200" s="8"/>
      <c r="S200" s="8"/>
      <c r="T200" s="8"/>
      <c r="U200" s="34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90"/>
      <c r="R201" s="8"/>
      <c r="S201" s="8"/>
      <c r="T201" s="8"/>
      <c r="U201" s="34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90"/>
      <c r="R202" s="8"/>
      <c r="S202" s="8"/>
      <c r="T202" s="8"/>
      <c r="U202" s="34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90"/>
      <c r="R203" s="8"/>
      <c r="S203" s="8"/>
      <c r="T203" s="8"/>
      <c r="U203" s="34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90"/>
      <c r="R204" s="8"/>
      <c r="S204" s="8"/>
      <c r="T204" s="8"/>
      <c r="U204" s="34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90"/>
      <c r="R205" s="8"/>
      <c r="S205" s="8"/>
      <c r="T205" s="8"/>
      <c r="U205" s="34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90"/>
      <c r="R206" s="8"/>
      <c r="S206" s="8"/>
      <c r="T206" s="8"/>
      <c r="U206" s="34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90"/>
      <c r="R207" s="8"/>
      <c r="S207" s="8"/>
      <c r="T207" s="8"/>
      <c r="U207" s="34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90"/>
      <c r="R208" s="8"/>
      <c r="S208" s="8"/>
      <c r="T208" s="8"/>
      <c r="U208" s="34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90"/>
      <c r="R209" s="8"/>
      <c r="S209" s="8"/>
      <c r="T209" s="8"/>
      <c r="U209" s="34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90"/>
      <c r="R210" s="8"/>
      <c r="S210" s="8"/>
      <c r="T210" s="8"/>
      <c r="U210" s="34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90"/>
      <c r="R211" s="8"/>
      <c r="S211" s="8"/>
      <c r="T211" s="8"/>
      <c r="U211" s="34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90"/>
      <c r="R212" s="8"/>
      <c r="S212" s="8"/>
      <c r="T212" s="8"/>
      <c r="U212" s="34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90"/>
      <c r="R213" s="8"/>
      <c r="S213" s="8"/>
      <c r="T213" s="8"/>
      <c r="U213" s="34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90"/>
      <c r="R214" s="8"/>
      <c r="S214" s="8"/>
      <c r="T214" s="8"/>
      <c r="U214" s="34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90"/>
      <c r="R215" s="8"/>
      <c r="S215" s="8"/>
      <c r="T215" s="8"/>
      <c r="U215" s="34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90"/>
      <c r="R216" s="8"/>
      <c r="S216" s="8"/>
      <c r="T216" s="8"/>
      <c r="U216" s="34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90"/>
      <c r="R217" s="8"/>
      <c r="S217" s="8"/>
      <c r="T217" s="8"/>
      <c r="U217" s="34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90"/>
      <c r="R218" s="8"/>
      <c r="S218" s="8"/>
      <c r="T218" s="8"/>
      <c r="U218" s="34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90"/>
      <c r="R219" s="8"/>
      <c r="S219" s="8"/>
      <c r="T219" s="8"/>
      <c r="U219" s="34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90"/>
      <c r="R220" s="8"/>
      <c r="S220" s="8"/>
      <c r="T220" s="8"/>
      <c r="U220" s="34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90"/>
      <c r="R221" s="8"/>
      <c r="S221" s="8"/>
      <c r="T221" s="8"/>
      <c r="U221" s="34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90"/>
      <c r="R222" s="8"/>
      <c r="S222" s="8"/>
      <c r="T222" s="8"/>
      <c r="U222" s="34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90"/>
      <c r="R223" s="8"/>
      <c r="S223" s="8"/>
      <c r="T223" s="8"/>
      <c r="U223" s="34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90"/>
      <c r="R224" s="8"/>
      <c r="S224" s="8"/>
      <c r="T224" s="8"/>
      <c r="U224" s="34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90"/>
      <c r="R225" s="8"/>
      <c r="S225" s="8"/>
      <c r="T225" s="8"/>
      <c r="U225" s="34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90"/>
      <c r="R226" s="8"/>
      <c r="S226" s="8"/>
      <c r="T226" s="8"/>
      <c r="U226" s="34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90"/>
      <c r="R227" s="8"/>
      <c r="S227" s="8"/>
      <c r="T227" s="8"/>
      <c r="U227" s="34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90"/>
      <c r="R228" s="8"/>
      <c r="S228" s="8"/>
      <c r="T228" s="8"/>
      <c r="U228" s="34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90"/>
      <c r="R229" s="8"/>
      <c r="S229" s="8"/>
      <c r="T229" s="8"/>
      <c r="U229" s="34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90"/>
      <c r="R230" s="8"/>
      <c r="S230" s="8"/>
      <c r="T230" s="8"/>
      <c r="U230" s="34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90"/>
      <c r="R231" s="8"/>
      <c r="S231" s="8"/>
      <c r="T231" s="8"/>
      <c r="U231" s="34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90"/>
      <c r="R232" s="8"/>
      <c r="S232" s="8"/>
      <c r="T232" s="8"/>
      <c r="U232" s="34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90"/>
      <c r="R233" s="8"/>
      <c r="S233" s="8"/>
      <c r="T233" s="8"/>
      <c r="U233" s="34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90"/>
      <c r="R234" s="8"/>
      <c r="S234" s="8"/>
      <c r="T234" s="8"/>
      <c r="U234" s="34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90"/>
      <c r="R235" s="8"/>
      <c r="S235" s="8"/>
      <c r="T235" s="8"/>
      <c r="U235" s="34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90"/>
      <c r="R236" s="8"/>
      <c r="S236" s="8"/>
      <c r="T236" s="8"/>
      <c r="U236" s="34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90"/>
      <c r="R237" s="8"/>
      <c r="S237" s="8"/>
      <c r="T237" s="8"/>
      <c r="U237" s="34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90"/>
      <c r="R238" s="8"/>
      <c r="S238" s="8"/>
      <c r="T238" s="8"/>
      <c r="U238" s="34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90"/>
      <c r="R239" s="8"/>
      <c r="S239" s="8"/>
      <c r="T239" s="8"/>
      <c r="U239" s="34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90"/>
      <c r="R240" s="8"/>
      <c r="S240" s="8"/>
      <c r="T240" s="8"/>
      <c r="U240" s="34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90"/>
      <c r="R241" s="8"/>
      <c r="S241" s="8"/>
      <c r="T241" s="8"/>
      <c r="U241" s="34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90"/>
      <c r="R242" s="8"/>
      <c r="S242" s="8"/>
      <c r="T242" s="8"/>
      <c r="U242" s="34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90"/>
      <c r="R243" s="8"/>
      <c r="S243" s="8"/>
      <c r="T243" s="8"/>
      <c r="U243" s="34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90"/>
      <c r="R244" s="8"/>
      <c r="S244" s="8"/>
      <c r="T244" s="8"/>
      <c r="U244" s="34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90"/>
      <c r="R245" s="8"/>
      <c r="S245" s="8"/>
      <c r="T245" s="8"/>
      <c r="U245" s="34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90"/>
      <c r="R246" s="8"/>
      <c r="S246" s="8"/>
      <c r="T246" s="8"/>
      <c r="U246" s="34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90"/>
      <c r="R247" s="8"/>
      <c r="S247" s="8"/>
      <c r="T247" s="8"/>
      <c r="U247" s="34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90"/>
      <c r="R248" s="8"/>
      <c r="S248" s="8"/>
      <c r="T248" s="8"/>
      <c r="U248" s="34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90"/>
      <c r="R249" s="8"/>
      <c r="S249" s="8"/>
      <c r="T249" s="8"/>
      <c r="U249" s="34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90"/>
      <c r="R250" s="8"/>
      <c r="S250" s="8"/>
      <c r="T250" s="8"/>
      <c r="U250" s="34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90"/>
      <c r="R251" s="8"/>
      <c r="S251" s="8"/>
      <c r="T251" s="8"/>
      <c r="U251" s="34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90"/>
      <c r="R252" s="8"/>
      <c r="S252" s="8"/>
      <c r="T252" s="8"/>
      <c r="U252" s="34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90"/>
      <c r="R253" s="8"/>
      <c r="S253" s="8"/>
      <c r="T253" s="8"/>
      <c r="U253" s="34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90"/>
      <c r="R254" s="8"/>
      <c r="S254" s="8"/>
      <c r="T254" s="8"/>
      <c r="U254" s="34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90"/>
      <c r="R255" s="8"/>
      <c r="S255" s="8"/>
      <c r="T255" s="8"/>
      <c r="U255" s="34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90"/>
      <c r="R256" s="8"/>
      <c r="S256" s="8"/>
      <c r="T256" s="8"/>
      <c r="U256" s="34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90"/>
      <c r="R257" s="8"/>
      <c r="S257" s="8"/>
      <c r="T257" s="8"/>
      <c r="U257" s="34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90"/>
      <c r="R258" s="8"/>
      <c r="S258" s="8"/>
      <c r="T258" s="8"/>
      <c r="U258" s="34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90"/>
      <c r="R259" s="8"/>
      <c r="S259" s="8"/>
      <c r="T259" s="8"/>
      <c r="U259" s="34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90"/>
      <c r="R260" s="8"/>
      <c r="S260" s="8"/>
      <c r="T260" s="8"/>
      <c r="U260" s="34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90"/>
      <c r="R261" s="8"/>
      <c r="S261" s="8"/>
      <c r="T261" s="8"/>
      <c r="U261" s="34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90"/>
      <c r="R262" s="8"/>
      <c r="S262" s="8"/>
      <c r="T262" s="8"/>
      <c r="U262" s="34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90"/>
      <c r="R263" s="8"/>
      <c r="S263" s="8"/>
      <c r="T263" s="8"/>
      <c r="U263" s="34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90"/>
      <c r="R264" s="8"/>
      <c r="S264" s="8"/>
      <c r="T264" s="8"/>
      <c r="U264" s="34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90"/>
      <c r="R265" s="8"/>
      <c r="S265" s="8"/>
      <c r="T265" s="8"/>
      <c r="U265" s="34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90"/>
      <c r="R266" s="8"/>
      <c r="S266" s="8"/>
      <c r="T266" s="8"/>
      <c r="U266" s="34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90"/>
      <c r="R267" s="8"/>
      <c r="S267" s="8"/>
      <c r="T267" s="8"/>
      <c r="U267" s="34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90"/>
      <c r="R268" s="8"/>
      <c r="S268" s="8"/>
      <c r="T268" s="8"/>
      <c r="U268" s="34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90"/>
      <c r="R269" s="8"/>
      <c r="S269" s="8"/>
      <c r="T269" s="8"/>
      <c r="U269" s="34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90"/>
      <c r="R270" s="8"/>
      <c r="S270" s="8"/>
      <c r="T270" s="8"/>
      <c r="U270" s="34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90"/>
      <c r="R271" s="8"/>
      <c r="S271" s="8"/>
      <c r="T271" s="8"/>
      <c r="U271" s="34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90"/>
      <c r="R272" s="8"/>
      <c r="S272" s="8"/>
      <c r="T272" s="8"/>
      <c r="U272" s="34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90"/>
      <c r="R273" s="8"/>
      <c r="S273" s="8"/>
      <c r="T273" s="8"/>
      <c r="U273" s="34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90"/>
      <c r="R274" s="8"/>
      <c r="S274" s="8"/>
      <c r="T274" s="8"/>
      <c r="U274" s="34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90"/>
      <c r="R275" s="8"/>
      <c r="S275" s="8"/>
      <c r="T275" s="8"/>
      <c r="U275" s="34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90"/>
      <c r="R276" s="8"/>
      <c r="S276" s="8"/>
      <c r="T276" s="8"/>
      <c r="U276" s="34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90"/>
      <c r="R277" s="8"/>
      <c r="S277" s="8"/>
      <c r="T277" s="8"/>
      <c r="U277" s="34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90"/>
      <c r="R278" s="8"/>
      <c r="S278" s="8"/>
      <c r="T278" s="8"/>
      <c r="U278" s="34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90"/>
      <c r="R279" s="8"/>
      <c r="S279" s="8"/>
      <c r="T279" s="8"/>
      <c r="U279" s="34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90"/>
      <c r="R280" s="8"/>
      <c r="S280" s="8"/>
      <c r="T280" s="8"/>
      <c r="U280" s="34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90"/>
      <c r="R281" s="8"/>
      <c r="S281" s="8"/>
      <c r="T281" s="8"/>
      <c r="U281" s="34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90"/>
      <c r="R282" s="8"/>
      <c r="S282" s="8"/>
      <c r="T282" s="8"/>
      <c r="U282" s="34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90"/>
      <c r="R283" s="8"/>
      <c r="S283" s="8"/>
      <c r="T283" s="8"/>
      <c r="U283" s="34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90"/>
      <c r="R284" s="8"/>
      <c r="S284" s="8"/>
      <c r="T284" s="8"/>
      <c r="U284" s="34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90"/>
      <c r="R285" s="8"/>
      <c r="S285" s="8"/>
      <c r="T285" s="8"/>
      <c r="U285" s="34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90"/>
      <c r="R286" s="8"/>
      <c r="S286" s="8"/>
      <c r="T286" s="8"/>
      <c r="U286" s="34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90"/>
      <c r="R287" s="8"/>
      <c r="S287" s="8"/>
      <c r="T287" s="8"/>
      <c r="U287" s="34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90"/>
      <c r="R288" s="8"/>
      <c r="S288" s="8"/>
      <c r="T288" s="8"/>
      <c r="U288" s="34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90"/>
      <c r="R289" s="8"/>
      <c r="S289" s="8"/>
      <c r="T289" s="8"/>
      <c r="U289" s="34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90"/>
      <c r="R290" s="8"/>
      <c r="S290" s="8"/>
      <c r="T290" s="8"/>
      <c r="U290" s="34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90"/>
      <c r="R291" s="8"/>
      <c r="S291" s="8"/>
      <c r="T291" s="8"/>
      <c r="U291" s="34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90"/>
      <c r="R292" s="8"/>
      <c r="S292" s="8"/>
      <c r="T292" s="8"/>
      <c r="U292" s="34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90"/>
      <c r="R293" s="8"/>
      <c r="S293" s="8"/>
      <c r="T293" s="8"/>
      <c r="U293" s="34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90"/>
      <c r="R294" s="8"/>
      <c r="S294" s="8"/>
      <c r="T294" s="8"/>
      <c r="U294" s="34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90"/>
      <c r="R295" s="8"/>
      <c r="S295" s="8"/>
      <c r="T295" s="8"/>
      <c r="U295" s="34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90"/>
      <c r="R296" s="8"/>
      <c r="S296" s="8"/>
      <c r="T296" s="8"/>
      <c r="U296" s="34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90"/>
      <c r="R297" s="8"/>
      <c r="S297" s="8"/>
      <c r="T297" s="8"/>
      <c r="U297" s="34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90"/>
      <c r="R298" s="8"/>
      <c r="S298" s="8"/>
      <c r="T298" s="8"/>
      <c r="U298" s="34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90"/>
      <c r="R299" s="8"/>
      <c r="S299" s="8"/>
      <c r="T299" s="8"/>
      <c r="U299" s="34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90"/>
      <c r="R300" s="8"/>
      <c r="S300" s="8"/>
      <c r="T300" s="8"/>
      <c r="U300" s="34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90"/>
      <c r="R301" s="8"/>
      <c r="S301" s="8"/>
      <c r="T301" s="8"/>
      <c r="U301" s="34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90"/>
      <c r="R302" s="8"/>
      <c r="S302" s="8"/>
      <c r="T302" s="8"/>
      <c r="U302" s="34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90"/>
      <c r="R303" s="8"/>
      <c r="S303" s="8"/>
      <c r="T303" s="8"/>
      <c r="U303" s="34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90"/>
      <c r="R304" s="8"/>
      <c r="S304" s="8"/>
      <c r="T304" s="8"/>
      <c r="U304" s="34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90"/>
      <c r="R305" s="8"/>
      <c r="S305" s="8"/>
      <c r="T305" s="8"/>
      <c r="U305" s="34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90"/>
      <c r="R306" s="8"/>
      <c r="S306" s="8"/>
      <c r="T306" s="8"/>
      <c r="U306" s="34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90"/>
      <c r="R307" s="8"/>
      <c r="S307" s="8"/>
      <c r="T307" s="8"/>
      <c r="U307" s="34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90"/>
      <c r="R308" s="8"/>
      <c r="S308" s="8"/>
      <c r="T308" s="8"/>
      <c r="U308" s="34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90"/>
      <c r="R309" s="8"/>
      <c r="S309" s="8"/>
      <c r="T309" s="8"/>
      <c r="U309" s="34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90"/>
      <c r="R310" s="8"/>
      <c r="S310" s="8"/>
      <c r="T310" s="8"/>
      <c r="U310" s="34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90"/>
      <c r="R311" s="8"/>
      <c r="S311" s="8"/>
      <c r="T311" s="8"/>
      <c r="U311" s="34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90"/>
      <c r="R312" s="8"/>
      <c r="S312" s="8"/>
      <c r="T312" s="8"/>
      <c r="U312" s="34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90"/>
      <c r="R313" s="8"/>
      <c r="S313" s="8"/>
      <c r="T313" s="8"/>
      <c r="U313" s="34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90"/>
      <c r="R314" s="8"/>
      <c r="S314" s="8"/>
      <c r="T314" s="8"/>
      <c r="U314" s="34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90"/>
      <c r="R315" s="8"/>
      <c r="S315" s="8"/>
      <c r="T315" s="8"/>
      <c r="U315" s="34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90"/>
      <c r="R316" s="8"/>
      <c r="S316" s="8"/>
      <c r="T316" s="8"/>
      <c r="U316" s="34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90"/>
      <c r="R317" s="8"/>
      <c r="S317" s="8"/>
      <c r="T317" s="8"/>
      <c r="U317" s="34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90"/>
      <c r="R318" s="8"/>
      <c r="S318" s="8"/>
      <c r="T318" s="8"/>
      <c r="U318" s="34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90"/>
      <c r="R319" s="8"/>
      <c r="S319" s="8"/>
      <c r="T319" s="8"/>
      <c r="U319" s="34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90"/>
      <c r="R320" s="8"/>
      <c r="S320" s="8"/>
      <c r="T320" s="8"/>
      <c r="U320" s="34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90"/>
      <c r="R321" s="8"/>
      <c r="S321" s="8"/>
      <c r="T321" s="8"/>
      <c r="U321" s="34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90"/>
      <c r="R322" s="8"/>
      <c r="S322" s="8"/>
      <c r="T322" s="8"/>
      <c r="U322" s="34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90"/>
      <c r="R323" s="8"/>
      <c r="S323" s="8"/>
      <c r="T323" s="8"/>
      <c r="U323" s="34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90"/>
      <c r="R324" s="8"/>
      <c r="S324" s="8"/>
      <c r="T324" s="8"/>
      <c r="U324" s="34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90"/>
      <c r="R325" s="8"/>
      <c r="S325" s="8"/>
      <c r="T325" s="8"/>
      <c r="U325" s="34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90"/>
      <c r="R326" s="8"/>
      <c r="S326" s="8"/>
      <c r="T326" s="8"/>
      <c r="U326" s="34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90"/>
      <c r="R327" s="8"/>
      <c r="S327" s="8"/>
      <c r="T327" s="8"/>
      <c r="U327" s="34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90"/>
      <c r="R328" s="8"/>
      <c r="S328" s="8"/>
      <c r="T328" s="8"/>
      <c r="U328" s="34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90"/>
      <c r="R329" s="8"/>
      <c r="S329" s="8"/>
      <c r="T329" s="8"/>
      <c r="U329" s="34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90"/>
      <c r="R330" s="8"/>
      <c r="S330" s="8"/>
      <c r="T330" s="8"/>
      <c r="U330" s="34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90"/>
      <c r="R331" s="8"/>
      <c r="S331" s="8"/>
      <c r="T331" s="8"/>
      <c r="U331" s="34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90"/>
      <c r="R332" s="8"/>
      <c r="S332" s="8"/>
      <c r="T332" s="8"/>
      <c r="U332" s="34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90"/>
      <c r="R333" s="8"/>
      <c r="S333" s="8"/>
      <c r="T333" s="8"/>
      <c r="U333" s="34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90"/>
      <c r="R334" s="8"/>
      <c r="S334" s="8"/>
      <c r="T334" s="8"/>
      <c r="U334" s="34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90"/>
      <c r="R335" s="8"/>
      <c r="S335" s="8"/>
      <c r="T335" s="8"/>
      <c r="U335" s="34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90"/>
      <c r="R336" s="8"/>
      <c r="S336" s="8"/>
      <c r="T336" s="8"/>
      <c r="U336" s="34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90"/>
      <c r="R337" s="8"/>
      <c r="S337" s="8"/>
      <c r="T337" s="8"/>
      <c r="U337" s="34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90"/>
      <c r="R338" s="8"/>
      <c r="S338" s="8"/>
      <c r="T338" s="8"/>
      <c r="U338" s="34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90"/>
      <c r="R339" s="8"/>
      <c r="S339" s="8"/>
      <c r="T339" s="8"/>
      <c r="U339" s="34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90"/>
      <c r="R340" s="8"/>
      <c r="S340" s="8"/>
      <c r="T340" s="8"/>
      <c r="U340" s="34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90"/>
      <c r="R341" s="8"/>
      <c r="S341" s="8"/>
      <c r="T341" s="8"/>
      <c r="U341" s="34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90"/>
      <c r="R342" s="8"/>
      <c r="S342" s="8"/>
      <c r="T342" s="8"/>
      <c r="U342" s="34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90"/>
      <c r="R343" s="8"/>
      <c r="S343" s="8"/>
      <c r="T343" s="8"/>
      <c r="U343" s="34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90"/>
      <c r="R344" s="8"/>
      <c r="S344" s="8"/>
      <c r="T344" s="8"/>
      <c r="U344" s="34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90"/>
      <c r="R345" s="8"/>
      <c r="S345" s="8"/>
      <c r="T345" s="8"/>
      <c r="U345" s="34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90"/>
      <c r="R346" s="8"/>
      <c r="S346" s="8"/>
      <c r="T346" s="8"/>
      <c r="U346" s="34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90"/>
      <c r="R347" s="8"/>
      <c r="S347" s="8"/>
      <c r="T347" s="8"/>
      <c r="U347" s="34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90"/>
      <c r="R348" s="8"/>
      <c r="S348" s="8"/>
      <c r="T348" s="8"/>
      <c r="U348" s="34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90"/>
      <c r="R349" s="8"/>
      <c r="S349" s="8"/>
      <c r="T349" s="8"/>
      <c r="U349" s="34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90"/>
      <c r="R350" s="8"/>
      <c r="S350" s="8"/>
      <c r="T350" s="8"/>
      <c r="U350" s="34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90"/>
      <c r="R351" s="8"/>
      <c r="S351" s="8"/>
      <c r="T351" s="8"/>
      <c r="U351" s="34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90"/>
      <c r="R352" s="8"/>
      <c r="S352" s="8"/>
      <c r="T352" s="8"/>
      <c r="U352" s="34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90"/>
      <c r="R353" s="8"/>
      <c r="S353" s="8"/>
      <c r="T353" s="8"/>
      <c r="U353" s="34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90"/>
      <c r="R354" s="8"/>
      <c r="S354" s="8"/>
      <c r="T354" s="8"/>
      <c r="U354" s="34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90"/>
      <c r="R355" s="8"/>
      <c r="S355" s="8"/>
      <c r="T355" s="8"/>
      <c r="U355" s="34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90"/>
      <c r="R356" s="8"/>
      <c r="S356" s="8"/>
      <c r="T356" s="8"/>
      <c r="U356" s="34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90"/>
      <c r="R357" s="8"/>
      <c r="S357" s="8"/>
      <c r="T357" s="8"/>
      <c r="U357" s="34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90"/>
      <c r="R358" s="8"/>
      <c r="S358" s="8"/>
      <c r="T358" s="8"/>
      <c r="U358" s="34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90"/>
      <c r="R359" s="8"/>
      <c r="S359" s="8"/>
      <c r="T359" s="8"/>
      <c r="U359" s="34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90"/>
      <c r="R360" s="8"/>
      <c r="S360" s="8"/>
      <c r="T360" s="8"/>
      <c r="U360" s="34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90"/>
      <c r="R361" s="8"/>
      <c r="S361" s="8"/>
      <c r="T361" s="8"/>
      <c r="U361" s="34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90"/>
      <c r="R362" s="8"/>
      <c r="S362" s="8"/>
      <c r="T362" s="8"/>
      <c r="U362" s="34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90"/>
      <c r="R363" s="8"/>
      <c r="S363" s="8"/>
      <c r="T363" s="8"/>
      <c r="U363" s="34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90"/>
      <c r="R364" s="8"/>
      <c r="S364" s="8"/>
      <c r="T364" s="8"/>
      <c r="U364" s="34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90"/>
      <c r="R365" s="8"/>
      <c r="S365" s="8"/>
      <c r="T365" s="8"/>
      <c r="U365" s="34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90"/>
      <c r="R366" s="8"/>
      <c r="S366" s="8"/>
      <c r="T366" s="8"/>
      <c r="U366" s="34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90"/>
      <c r="R367" s="8"/>
      <c r="S367" s="8"/>
      <c r="T367" s="8"/>
      <c r="U367" s="34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90"/>
      <c r="R368" s="8"/>
      <c r="S368" s="8"/>
      <c r="T368" s="8"/>
      <c r="U368" s="34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90"/>
      <c r="R369" s="8"/>
      <c r="S369" s="8"/>
      <c r="T369" s="8"/>
      <c r="U369" s="34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90"/>
      <c r="R370" s="8"/>
      <c r="S370" s="8"/>
      <c r="T370" s="8"/>
      <c r="U370" s="34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90"/>
      <c r="R371" s="8"/>
      <c r="S371" s="8"/>
      <c r="T371" s="8"/>
      <c r="U371" s="34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90"/>
      <c r="R372" s="8"/>
      <c r="S372" s="8"/>
      <c r="T372" s="8"/>
      <c r="U372" s="34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90"/>
      <c r="R373" s="8"/>
      <c r="S373" s="8"/>
      <c r="T373" s="8"/>
      <c r="U373" s="34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90"/>
      <c r="R374" s="8"/>
      <c r="S374" s="8"/>
      <c r="T374" s="8"/>
      <c r="U374" s="34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90"/>
      <c r="R375" s="8"/>
      <c r="S375" s="8"/>
      <c r="T375" s="8"/>
      <c r="U375" s="34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90"/>
      <c r="R376" s="8"/>
      <c r="S376" s="8"/>
      <c r="T376" s="8"/>
      <c r="U376" s="34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90"/>
      <c r="R377" s="8"/>
      <c r="S377" s="8"/>
      <c r="T377" s="8"/>
      <c r="U377" s="34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90"/>
      <c r="R378" s="8"/>
      <c r="S378" s="8"/>
      <c r="T378" s="8"/>
      <c r="U378" s="34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90"/>
      <c r="R379" s="8"/>
      <c r="S379" s="8"/>
      <c r="T379" s="8"/>
      <c r="U379" s="34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90"/>
      <c r="R380" s="8"/>
      <c r="S380" s="8"/>
      <c r="T380" s="8"/>
      <c r="U380" s="34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90"/>
      <c r="R381" s="8"/>
      <c r="S381" s="8"/>
      <c r="T381" s="8"/>
      <c r="U381" s="34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90"/>
      <c r="R382" s="8"/>
      <c r="S382" s="8"/>
      <c r="T382" s="8"/>
      <c r="U382" s="34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90"/>
      <c r="R383" s="8"/>
      <c r="S383" s="8"/>
      <c r="T383" s="8"/>
      <c r="U383" s="34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90"/>
      <c r="R384" s="8"/>
      <c r="S384" s="8"/>
      <c r="T384" s="8"/>
      <c r="U384" s="34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90"/>
      <c r="R385" s="8"/>
      <c r="S385" s="8"/>
      <c r="T385" s="8"/>
      <c r="U385" s="34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90"/>
      <c r="R386" s="8"/>
      <c r="S386" s="8"/>
      <c r="T386" s="8"/>
      <c r="U386" s="34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90"/>
      <c r="R387" s="8"/>
      <c r="S387" s="8"/>
      <c r="T387" s="8"/>
      <c r="U387" s="34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90"/>
      <c r="R388" s="8"/>
      <c r="S388" s="8"/>
      <c r="T388" s="8"/>
      <c r="U388" s="34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90"/>
      <c r="R389" s="8"/>
      <c r="S389" s="8"/>
      <c r="T389" s="8"/>
      <c r="U389" s="34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90"/>
      <c r="R390" s="8"/>
      <c r="S390" s="8"/>
      <c r="T390" s="8"/>
      <c r="U390" s="34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90"/>
      <c r="R391" s="8"/>
      <c r="S391" s="8"/>
      <c r="T391" s="8"/>
      <c r="U391" s="34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90"/>
      <c r="R392" s="8"/>
      <c r="S392" s="8"/>
      <c r="T392" s="8"/>
      <c r="U392" s="34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90"/>
      <c r="R393" s="8"/>
      <c r="S393" s="8"/>
      <c r="T393" s="8"/>
      <c r="U393" s="34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90"/>
      <c r="R394" s="8"/>
      <c r="S394" s="8"/>
      <c r="T394" s="8"/>
      <c r="U394" s="34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90"/>
      <c r="R395" s="8"/>
      <c r="S395" s="8"/>
      <c r="T395" s="8"/>
      <c r="U395" s="34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90"/>
      <c r="R396" s="8"/>
      <c r="S396" s="8"/>
      <c r="T396" s="8"/>
      <c r="U396" s="34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90"/>
      <c r="R397" s="8"/>
      <c r="S397" s="8"/>
      <c r="T397" s="8"/>
      <c r="U397" s="34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90"/>
      <c r="R398" s="8"/>
      <c r="S398" s="8"/>
      <c r="T398" s="8"/>
      <c r="U398" s="34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90"/>
      <c r="R399" s="8"/>
      <c r="S399" s="8"/>
      <c r="T399" s="8"/>
      <c r="U399" s="34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90"/>
      <c r="R400" s="8"/>
      <c r="S400" s="8"/>
      <c r="T400" s="8"/>
      <c r="U400" s="34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90"/>
      <c r="R401" s="8"/>
      <c r="S401" s="8"/>
      <c r="T401" s="8"/>
      <c r="U401" s="34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90"/>
      <c r="R402" s="8"/>
      <c r="S402" s="8"/>
      <c r="T402" s="8"/>
      <c r="U402" s="34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90"/>
      <c r="R403" s="8"/>
      <c r="S403" s="8"/>
      <c r="T403" s="8"/>
      <c r="U403" s="34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90"/>
      <c r="R404" s="8"/>
      <c r="S404" s="8"/>
      <c r="T404" s="8"/>
      <c r="U404" s="34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90"/>
      <c r="R405" s="8"/>
      <c r="S405" s="8"/>
      <c r="T405" s="8"/>
      <c r="U405" s="34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90"/>
      <c r="R406" s="8"/>
      <c r="S406" s="8"/>
      <c r="T406" s="8"/>
      <c r="U406" s="34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90"/>
      <c r="R407" s="8"/>
      <c r="S407" s="8"/>
      <c r="T407" s="8"/>
      <c r="U407" s="34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90"/>
      <c r="R408" s="8"/>
      <c r="S408" s="8"/>
      <c r="T408" s="8"/>
      <c r="U408" s="34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90"/>
      <c r="R409" s="8"/>
      <c r="S409" s="8"/>
      <c r="T409" s="8"/>
      <c r="U409" s="34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90"/>
      <c r="R410" s="8"/>
      <c r="S410" s="8"/>
      <c r="T410" s="8"/>
      <c r="U410" s="34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90"/>
      <c r="R411" s="8"/>
      <c r="S411" s="8"/>
      <c r="T411" s="8"/>
      <c r="U411" s="34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90"/>
      <c r="R412" s="8"/>
      <c r="S412" s="8"/>
      <c r="T412" s="8"/>
      <c r="U412" s="34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90"/>
      <c r="R413" s="8"/>
      <c r="S413" s="8"/>
      <c r="T413" s="8"/>
      <c r="U413" s="34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90"/>
      <c r="R414" s="8"/>
      <c r="S414" s="8"/>
      <c r="T414" s="8"/>
      <c r="U414" s="34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90"/>
      <c r="R415" s="8"/>
      <c r="S415" s="8"/>
      <c r="T415" s="8"/>
      <c r="U415" s="34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90"/>
      <c r="R416" s="8"/>
      <c r="S416" s="8"/>
      <c r="T416" s="8"/>
      <c r="U416" s="34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90"/>
      <c r="R417" s="8"/>
      <c r="S417" s="8"/>
      <c r="T417" s="8"/>
      <c r="U417" s="34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90"/>
      <c r="R418" s="8"/>
      <c r="S418" s="8"/>
      <c r="T418" s="8"/>
      <c r="U418" s="34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90"/>
      <c r="R419" s="8"/>
      <c r="S419" s="8"/>
      <c r="T419" s="8"/>
      <c r="U419" s="34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90"/>
      <c r="R420" s="8"/>
      <c r="S420" s="8"/>
      <c r="T420" s="8"/>
      <c r="U420" s="34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90"/>
      <c r="R421" s="8"/>
      <c r="S421" s="8"/>
      <c r="T421" s="8"/>
      <c r="U421" s="34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90"/>
      <c r="R422" s="8"/>
      <c r="S422" s="8"/>
      <c r="T422" s="8"/>
      <c r="U422" s="34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90"/>
      <c r="R423" s="8"/>
      <c r="S423" s="8"/>
      <c r="T423" s="8"/>
      <c r="U423" s="34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90"/>
      <c r="R424" s="8"/>
      <c r="S424" s="8"/>
      <c r="T424" s="8"/>
      <c r="U424" s="34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90"/>
      <c r="R425" s="8"/>
      <c r="S425" s="8"/>
      <c r="T425" s="8"/>
      <c r="U425" s="34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90"/>
      <c r="R426" s="8"/>
      <c r="S426" s="8"/>
      <c r="T426" s="8"/>
      <c r="U426" s="34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90"/>
      <c r="R427" s="8"/>
      <c r="S427" s="8"/>
      <c r="T427" s="8"/>
      <c r="U427" s="34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90"/>
      <c r="R428" s="8"/>
      <c r="S428" s="8"/>
      <c r="T428" s="8"/>
      <c r="U428" s="34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90"/>
      <c r="R429" s="8"/>
      <c r="S429" s="8"/>
      <c r="T429" s="8"/>
      <c r="U429" s="34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90"/>
      <c r="R430" s="8"/>
      <c r="S430" s="8"/>
      <c r="T430" s="8"/>
      <c r="U430" s="34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90"/>
      <c r="R431" s="8"/>
      <c r="S431" s="8"/>
      <c r="T431" s="8"/>
      <c r="U431" s="34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90"/>
      <c r="R432" s="8"/>
      <c r="S432" s="8"/>
      <c r="T432" s="8"/>
      <c r="U432" s="34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90"/>
      <c r="R433" s="8"/>
      <c r="S433" s="8"/>
      <c r="T433" s="8"/>
      <c r="U433" s="34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90"/>
      <c r="R434" s="8"/>
      <c r="S434" s="8"/>
      <c r="T434" s="8"/>
      <c r="U434" s="34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90"/>
      <c r="R435" s="8"/>
      <c r="S435" s="8"/>
      <c r="T435" s="8"/>
      <c r="U435" s="34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90"/>
      <c r="R436" s="8"/>
      <c r="S436" s="8"/>
      <c r="T436" s="8"/>
      <c r="U436" s="34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90"/>
      <c r="R437" s="8"/>
      <c r="S437" s="8"/>
      <c r="T437" s="8"/>
      <c r="U437" s="34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90"/>
      <c r="R438" s="8"/>
      <c r="S438" s="8"/>
      <c r="T438" s="8"/>
      <c r="U438" s="34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90"/>
      <c r="R439" s="8"/>
      <c r="S439" s="8"/>
      <c r="T439" s="8"/>
      <c r="U439" s="34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90"/>
      <c r="R440" s="8"/>
      <c r="S440" s="8"/>
      <c r="T440" s="8"/>
      <c r="U440" s="34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90"/>
      <c r="R441" s="8"/>
      <c r="S441" s="8"/>
      <c r="T441" s="8"/>
      <c r="U441" s="34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90"/>
      <c r="R442" s="8"/>
      <c r="S442" s="8"/>
      <c r="T442" s="8"/>
      <c r="U442" s="34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90"/>
      <c r="R443" s="8"/>
      <c r="S443" s="8"/>
      <c r="T443" s="8"/>
      <c r="U443" s="34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90"/>
      <c r="R444" s="8"/>
      <c r="S444" s="8"/>
      <c r="T444" s="8"/>
      <c r="U444" s="34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90"/>
      <c r="R445" s="8"/>
      <c r="S445" s="8"/>
      <c r="T445" s="8"/>
      <c r="U445" s="34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90"/>
      <c r="R446" s="8"/>
      <c r="S446" s="8"/>
      <c r="T446" s="8"/>
      <c r="U446" s="34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90"/>
      <c r="R447" s="8"/>
      <c r="S447" s="8"/>
      <c r="T447" s="8"/>
      <c r="U447" s="34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90"/>
      <c r="R448" s="8"/>
      <c r="S448" s="8"/>
      <c r="T448" s="8"/>
      <c r="U448" s="34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90"/>
      <c r="R449" s="8"/>
      <c r="S449" s="8"/>
      <c r="T449" s="8"/>
      <c r="U449" s="34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90"/>
      <c r="R450" s="8"/>
      <c r="S450" s="8"/>
      <c r="T450" s="8"/>
      <c r="U450" s="34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90"/>
      <c r="R451" s="8"/>
      <c r="S451" s="8"/>
      <c r="T451" s="8"/>
      <c r="U451" s="34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90"/>
      <c r="R452" s="8"/>
      <c r="S452" s="8"/>
      <c r="T452" s="8"/>
      <c r="U452" s="34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90"/>
      <c r="R453" s="8"/>
      <c r="S453" s="8"/>
      <c r="T453" s="8"/>
      <c r="U453" s="34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90"/>
      <c r="R454" s="8"/>
      <c r="S454" s="8"/>
      <c r="T454" s="8"/>
      <c r="U454" s="34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90"/>
      <c r="R455" s="8"/>
      <c r="S455" s="8"/>
      <c r="T455" s="8"/>
      <c r="U455" s="34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90"/>
      <c r="R456" s="8"/>
      <c r="S456" s="8"/>
      <c r="T456" s="8"/>
      <c r="U456" s="34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90"/>
      <c r="R457" s="8"/>
      <c r="S457" s="8"/>
      <c r="T457" s="8"/>
      <c r="U457" s="34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90"/>
      <c r="R458" s="8"/>
      <c r="S458" s="8"/>
      <c r="T458" s="8"/>
      <c r="U458" s="34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90"/>
      <c r="R459" s="8"/>
      <c r="S459" s="8"/>
      <c r="T459" s="8"/>
      <c r="U459" s="34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90"/>
      <c r="R460" s="8"/>
      <c r="S460" s="8"/>
      <c r="T460" s="8"/>
      <c r="U460" s="34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90"/>
      <c r="R461" s="8"/>
      <c r="S461" s="8"/>
      <c r="T461" s="8"/>
      <c r="U461" s="34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90"/>
      <c r="R462" s="8"/>
      <c r="S462" s="8"/>
      <c r="T462" s="8"/>
      <c r="U462" s="34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90"/>
      <c r="R463" s="8"/>
      <c r="S463" s="8"/>
      <c r="T463" s="8"/>
      <c r="U463" s="34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90"/>
      <c r="R464" s="8"/>
      <c r="S464" s="8"/>
      <c r="T464" s="8"/>
      <c r="U464" s="34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90"/>
      <c r="R465" s="8"/>
      <c r="S465" s="8"/>
      <c r="T465" s="8"/>
      <c r="U465" s="34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90"/>
      <c r="R466" s="8"/>
      <c r="S466" s="8"/>
      <c r="T466" s="8"/>
      <c r="U466" s="34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90"/>
      <c r="R467" s="8"/>
      <c r="S467" s="8"/>
      <c r="T467" s="8"/>
      <c r="U467" s="34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90"/>
      <c r="R468" s="8"/>
      <c r="S468" s="8"/>
      <c r="T468" s="8"/>
      <c r="U468" s="34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90"/>
      <c r="R469" s="8"/>
      <c r="S469" s="8"/>
      <c r="T469" s="8"/>
      <c r="U469" s="34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90"/>
      <c r="R470" s="8"/>
      <c r="S470" s="8"/>
      <c r="T470" s="8"/>
      <c r="U470" s="34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90"/>
      <c r="R471" s="8"/>
      <c r="S471" s="8"/>
      <c r="T471" s="8"/>
      <c r="U471" s="34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90"/>
      <c r="R472" s="8"/>
      <c r="S472" s="8"/>
      <c r="T472" s="8"/>
      <c r="U472" s="34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90"/>
      <c r="R473" s="8"/>
      <c r="S473" s="8"/>
      <c r="T473" s="8"/>
      <c r="U473" s="34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90"/>
      <c r="R474" s="8"/>
      <c r="S474" s="8"/>
      <c r="T474" s="8"/>
      <c r="U474" s="34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90"/>
      <c r="R475" s="8"/>
      <c r="S475" s="8"/>
      <c r="T475" s="8"/>
      <c r="U475" s="34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90"/>
      <c r="R476" s="8"/>
      <c r="S476" s="8"/>
      <c r="T476" s="8"/>
      <c r="U476" s="34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90"/>
      <c r="R477" s="8"/>
      <c r="S477" s="8"/>
      <c r="T477" s="8"/>
      <c r="U477" s="34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90"/>
      <c r="R478" s="8"/>
      <c r="S478" s="8"/>
      <c r="T478" s="8"/>
      <c r="U478" s="34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90"/>
      <c r="R479" s="8"/>
      <c r="S479" s="8"/>
      <c r="T479" s="8"/>
      <c r="U479" s="34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90"/>
      <c r="R480" s="8"/>
      <c r="S480" s="8"/>
      <c r="T480" s="8"/>
      <c r="U480" s="34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90"/>
      <c r="R481" s="8"/>
      <c r="S481" s="8"/>
      <c r="T481" s="8"/>
      <c r="U481" s="34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90"/>
      <c r="R482" s="8"/>
      <c r="S482" s="8"/>
      <c r="T482" s="8"/>
      <c r="U482" s="34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90"/>
      <c r="R483" s="8"/>
      <c r="S483" s="8"/>
      <c r="T483" s="8"/>
      <c r="U483" s="34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90"/>
      <c r="R484" s="8"/>
      <c r="S484" s="8"/>
      <c r="T484" s="8"/>
      <c r="U484" s="34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90"/>
      <c r="R485" s="8"/>
      <c r="S485" s="8"/>
      <c r="T485" s="8"/>
      <c r="U485" s="34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90"/>
      <c r="R486" s="8"/>
      <c r="S486" s="8"/>
      <c r="T486" s="8"/>
      <c r="U486" s="34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90"/>
      <c r="R487" s="8"/>
      <c r="S487" s="8"/>
      <c r="T487" s="8"/>
      <c r="U487" s="34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90"/>
      <c r="R488" s="8"/>
      <c r="S488" s="8"/>
      <c r="T488" s="8"/>
      <c r="U488" s="34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90"/>
      <c r="R489" s="8"/>
      <c r="S489" s="8"/>
      <c r="T489" s="8"/>
      <c r="U489" s="34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90"/>
      <c r="R490" s="8"/>
      <c r="S490" s="8"/>
      <c r="T490" s="8"/>
      <c r="U490" s="34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90"/>
      <c r="R491" s="8"/>
      <c r="S491" s="8"/>
      <c r="T491" s="8"/>
      <c r="U491" s="34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90"/>
      <c r="R492" s="8"/>
      <c r="S492" s="8"/>
      <c r="T492" s="8"/>
      <c r="U492" s="34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90"/>
      <c r="R493" s="8"/>
      <c r="S493" s="8"/>
      <c r="T493" s="8"/>
      <c r="U493" s="34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90"/>
      <c r="R494" s="8"/>
      <c r="S494" s="8"/>
      <c r="T494" s="8"/>
      <c r="U494" s="34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90"/>
      <c r="R495" s="8"/>
      <c r="S495" s="8"/>
      <c r="T495" s="8"/>
      <c r="U495" s="34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90"/>
      <c r="R496" s="8"/>
      <c r="S496" s="8"/>
      <c r="T496" s="8"/>
      <c r="U496" s="34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90"/>
      <c r="R497" s="8"/>
      <c r="S497" s="8"/>
      <c r="T497" s="8"/>
      <c r="U497" s="34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90"/>
      <c r="R498" s="8"/>
      <c r="S498" s="8"/>
      <c r="T498" s="8"/>
      <c r="U498" s="34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90"/>
      <c r="R499" s="8"/>
      <c r="S499" s="8"/>
      <c r="T499" s="8"/>
      <c r="U499" s="34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90"/>
      <c r="R500" s="8"/>
      <c r="S500" s="8"/>
      <c r="T500" s="8"/>
      <c r="U500" s="34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90"/>
      <c r="R501" s="8"/>
      <c r="S501" s="8"/>
      <c r="T501" s="8"/>
      <c r="U501" s="34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90"/>
      <c r="R502" s="8"/>
      <c r="S502" s="8"/>
      <c r="T502" s="8"/>
      <c r="U502" s="34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90"/>
      <c r="R503" s="8"/>
      <c r="S503" s="8"/>
      <c r="T503" s="8"/>
      <c r="U503" s="34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90"/>
      <c r="R504" s="8"/>
      <c r="S504" s="8"/>
      <c r="T504" s="8"/>
      <c r="U504" s="34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90"/>
      <c r="R505" s="8"/>
      <c r="S505" s="8"/>
      <c r="T505" s="8"/>
      <c r="U505" s="34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90"/>
      <c r="R506" s="8"/>
      <c r="S506" s="8"/>
      <c r="T506" s="8"/>
      <c r="U506" s="34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90"/>
      <c r="R507" s="8"/>
      <c r="S507" s="8"/>
      <c r="T507" s="8"/>
      <c r="U507" s="34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90"/>
      <c r="R508" s="8"/>
      <c r="S508" s="8"/>
      <c r="T508" s="8"/>
      <c r="U508" s="34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90"/>
      <c r="R509" s="8"/>
      <c r="S509" s="8"/>
      <c r="T509" s="8"/>
      <c r="U509" s="34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90"/>
      <c r="R510" s="8"/>
      <c r="S510" s="8"/>
      <c r="T510" s="8"/>
      <c r="U510" s="34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90"/>
      <c r="R511" s="8"/>
      <c r="S511" s="8"/>
      <c r="T511" s="8"/>
      <c r="U511" s="34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90"/>
      <c r="R512" s="8"/>
      <c r="S512" s="8"/>
      <c r="T512" s="8"/>
      <c r="U512" s="34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90"/>
      <c r="R513" s="8"/>
      <c r="S513" s="8"/>
      <c r="T513" s="8"/>
      <c r="U513" s="34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90"/>
      <c r="R514" s="8"/>
      <c r="S514" s="8"/>
      <c r="T514" s="8"/>
      <c r="U514" s="34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90"/>
      <c r="R515" s="8"/>
      <c r="S515" s="8"/>
      <c r="T515" s="8"/>
      <c r="U515" s="34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90"/>
      <c r="R516" s="8"/>
      <c r="S516" s="8"/>
      <c r="T516" s="8"/>
      <c r="U516" s="34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90"/>
      <c r="R517" s="8"/>
      <c r="S517" s="8"/>
      <c r="T517" s="8"/>
      <c r="U517" s="34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90"/>
      <c r="R518" s="8"/>
      <c r="S518" s="8"/>
      <c r="T518" s="8"/>
      <c r="U518" s="34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90"/>
      <c r="R519" s="8"/>
      <c r="S519" s="8"/>
      <c r="T519" s="8"/>
      <c r="U519" s="34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90"/>
      <c r="R520" s="8"/>
      <c r="S520" s="8"/>
      <c r="T520" s="8"/>
      <c r="U520" s="34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90"/>
      <c r="R521" s="8"/>
      <c r="S521" s="8"/>
      <c r="T521" s="8"/>
      <c r="U521" s="34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90"/>
      <c r="R522" s="8"/>
      <c r="S522" s="8"/>
      <c r="T522" s="8"/>
      <c r="U522" s="34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90"/>
      <c r="R523" s="8"/>
      <c r="S523" s="8"/>
      <c r="T523" s="8"/>
      <c r="U523" s="34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90"/>
      <c r="R524" s="8"/>
      <c r="S524" s="8"/>
      <c r="T524" s="8"/>
      <c r="U524" s="34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90"/>
      <c r="R525" s="8"/>
      <c r="S525" s="8"/>
      <c r="T525" s="8"/>
      <c r="U525" s="34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90"/>
      <c r="R526" s="8"/>
      <c r="S526" s="8"/>
      <c r="T526" s="8"/>
      <c r="U526" s="34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90"/>
      <c r="R527" s="8"/>
      <c r="S527" s="8"/>
      <c r="T527" s="8"/>
      <c r="U527" s="34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90"/>
      <c r="R528" s="8"/>
      <c r="S528" s="8"/>
      <c r="T528" s="8"/>
      <c r="U528" s="34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90"/>
      <c r="R529" s="8"/>
      <c r="S529" s="8"/>
      <c r="T529" s="8"/>
      <c r="U529" s="34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90"/>
      <c r="R530" s="8"/>
      <c r="S530" s="8"/>
      <c r="T530" s="8"/>
      <c r="U530" s="34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90"/>
      <c r="R531" s="8"/>
      <c r="S531" s="8"/>
      <c r="T531" s="8"/>
      <c r="U531" s="34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90"/>
      <c r="R532" s="8"/>
      <c r="S532" s="8"/>
      <c r="T532" s="8"/>
      <c r="U532" s="34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90"/>
      <c r="R533" s="8"/>
      <c r="S533" s="8"/>
      <c r="T533" s="8"/>
      <c r="U533" s="34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90"/>
      <c r="R534" s="8"/>
      <c r="S534" s="8"/>
      <c r="T534" s="8"/>
      <c r="U534" s="34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90"/>
      <c r="R535" s="8"/>
      <c r="S535" s="8"/>
      <c r="T535" s="8"/>
      <c r="U535" s="34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90"/>
      <c r="R536" s="8"/>
      <c r="S536" s="8"/>
      <c r="T536" s="8"/>
      <c r="U536" s="34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90"/>
      <c r="R537" s="8"/>
      <c r="S537" s="8"/>
      <c r="T537" s="8"/>
      <c r="U537" s="34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90"/>
      <c r="R538" s="8"/>
      <c r="S538" s="8"/>
      <c r="T538" s="8"/>
      <c r="U538" s="34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90"/>
      <c r="R539" s="8"/>
      <c r="S539" s="8"/>
      <c r="T539" s="8"/>
      <c r="U539" s="34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90"/>
      <c r="R540" s="8"/>
      <c r="S540" s="8"/>
      <c r="T540" s="8"/>
      <c r="U540" s="34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90"/>
      <c r="R541" s="8"/>
      <c r="S541" s="8"/>
      <c r="T541" s="8"/>
      <c r="U541" s="34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90"/>
      <c r="R542" s="8"/>
      <c r="S542" s="8"/>
      <c r="T542" s="8"/>
      <c r="U542" s="34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90"/>
      <c r="R543" s="8"/>
      <c r="S543" s="8"/>
      <c r="T543" s="8"/>
      <c r="U543" s="34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90"/>
      <c r="R544" s="8"/>
      <c r="S544" s="8"/>
      <c r="T544" s="8"/>
      <c r="U544" s="34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90"/>
      <c r="R545" s="8"/>
      <c r="S545" s="8"/>
      <c r="T545" s="8"/>
      <c r="U545" s="34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90"/>
      <c r="R546" s="8"/>
      <c r="S546" s="8"/>
      <c r="T546" s="8"/>
      <c r="U546" s="34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90"/>
      <c r="R547" s="8"/>
      <c r="S547" s="8"/>
      <c r="T547" s="8"/>
      <c r="U547" s="34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90"/>
      <c r="R548" s="8"/>
      <c r="S548" s="8"/>
      <c r="T548" s="8"/>
      <c r="U548" s="34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90"/>
      <c r="R549" s="8"/>
      <c r="S549" s="8"/>
      <c r="T549" s="8"/>
      <c r="U549" s="34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90"/>
      <c r="R550" s="8"/>
      <c r="S550" s="8"/>
      <c r="T550" s="8"/>
      <c r="U550" s="34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90"/>
      <c r="R551" s="8"/>
      <c r="S551" s="8"/>
      <c r="T551" s="8"/>
      <c r="U551" s="34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90"/>
      <c r="R552" s="8"/>
      <c r="S552" s="8"/>
      <c r="T552" s="8"/>
      <c r="U552" s="34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90"/>
      <c r="R553" s="8"/>
      <c r="S553" s="8"/>
      <c r="T553" s="8"/>
      <c r="U553" s="34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90"/>
      <c r="R554" s="8"/>
      <c r="S554" s="8"/>
      <c r="T554" s="8"/>
      <c r="U554" s="34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90"/>
      <c r="R555" s="8"/>
      <c r="S555" s="8"/>
      <c r="T555" s="8"/>
      <c r="U555" s="34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90"/>
      <c r="R556" s="8"/>
      <c r="S556" s="8"/>
      <c r="T556" s="8"/>
      <c r="U556" s="34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90"/>
      <c r="R557" s="8"/>
      <c r="S557" s="8"/>
      <c r="T557" s="8"/>
      <c r="U557" s="34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90"/>
      <c r="R558" s="8"/>
      <c r="S558" s="8"/>
      <c r="T558" s="8"/>
      <c r="U558" s="34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90"/>
      <c r="R559" s="8"/>
      <c r="S559" s="8"/>
      <c r="T559" s="8"/>
      <c r="U559" s="34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90"/>
      <c r="R560" s="8"/>
      <c r="S560" s="8"/>
      <c r="T560" s="8"/>
      <c r="U560" s="34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90"/>
      <c r="R561" s="8"/>
      <c r="S561" s="8"/>
      <c r="T561" s="8"/>
      <c r="U561" s="34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90"/>
      <c r="R562" s="8"/>
      <c r="S562" s="8"/>
      <c r="T562" s="8"/>
      <c r="U562" s="34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90"/>
      <c r="R563" s="8"/>
      <c r="S563" s="8"/>
      <c r="T563" s="8"/>
      <c r="U563" s="34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90"/>
      <c r="R564" s="8"/>
      <c r="S564" s="8"/>
      <c r="T564" s="8"/>
      <c r="U564" s="34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90"/>
      <c r="R565" s="8"/>
      <c r="S565" s="8"/>
      <c r="T565" s="8"/>
      <c r="U565" s="34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90"/>
      <c r="R566" s="8"/>
      <c r="S566" s="8"/>
      <c r="T566" s="8"/>
      <c r="U566" s="34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90"/>
      <c r="R567" s="8"/>
      <c r="S567" s="8"/>
      <c r="T567" s="8"/>
      <c r="U567" s="34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90"/>
      <c r="R568" s="8"/>
      <c r="S568" s="8"/>
      <c r="T568" s="8"/>
      <c r="U568" s="34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90"/>
      <c r="R569" s="8"/>
      <c r="S569" s="8"/>
      <c r="T569" s="8"/>
      <c r="U569" s="34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90"/>
      <c r="R570" s="8"/>
      <c r="S570" s="8"/>
      <c r="T570" s="8"/>
      <c r="U570" s="34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90"/>
      <c r="R571" s="8"/>
      <c r="S571" s="8"/>
      <c r="T571" s="8"/>
      <c r="U571" s="34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90"/>
      <c r="R572" s="8"/>
      <c r="S572" s="8"/>
      <c r="T572" s="8"/>
      <c r="U572" s="34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90"/>
      <c r="R573" s="8"/>
      <c r="S573" s="8"/>
      <c r="T573" s="8"/>
      <c r="U573" s="34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90"/>
      <c r="R574" s="8"/>
      <c r="S574" s="8"/>
      <c r="T574" s="8"/>
      <c r="U574" s="34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90"/>
      <c r="R575" s="8"/>
      <c r="S575" s="8"/>
      <c r="T575" s="8"/>
      <c r="U575" s="34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90"/>
      <c r="R576" s="8"/>
      <c r="S576" s="8"/>
      <c r="T576" s="8"/>
      <c r="U576" s="34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90"/>
      <c r="R577" s="8"/>
      <c r="S577" s="8"/>
      <c r="T577" s="8"/>
      <c r="U577" s="34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90"/>
      <c r="R578" s="8"/>
      <c r="S578" s="8"/>
      <c r="T578" s="8"/>
      <c r="U578" s="34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90"/>
      <c r="R579" s="8"/>
      <c r="S579" s="8"/>
      <c r="T579" s="8"/>
      <c r="U579" s="34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90"/>
      <c r="R580" s="8"/>
      <c r="S580" s="8"/>
      <c r="T580" s="8"/>
      <c r="U580" s="34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90"/>
      <c r="R581" s="8"/>
      <c r="S581" s="8"/>
      <c r="T581" s="8"/>
      <c r="U581" s="34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90"/>
      <c r="R582" s="8"/>
      <c r="S582" s="8"/>
      <c r="T582" s="8"/>
      <c r="U582" s="34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90"/>
      <c r="R583" s="8"/>
      <c r="S583" s="8"/>
      <c r="T583" s="8"/>
      <c r="U583" s="34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90"/>
      <c r="R584" s="8"/>
      <c r="S584" s="8"/>
      <c r="T584" s="8"/>
      <c r="U584" s="34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90"/>
      <c r="R585" s="8"/>
      <c r="S585" s="8"/>
      <c r="T585" s="8"/>
      <c r="U585" s="34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90"/>
      <c r="R586" s="8"/>
      <c r="S586" s="8"/>
      <c r="T586" s="8"/>
      <c r="U586" s="34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90"/>
      <c r="R587" s="8"/>
      <c r="S587" s="8"/>
      <c r="T587" s="8"/>
      <c r="U587" s="34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90"/>
      <c r="R588" s="8"/>
      <c r="S588" s="8"/>
      <c r="T588" s="8"/>
      <c r="U588" s="34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90"/>
      <c r="R589" s="8"/>
      <c r="S589" s="8"/>
      <c r="T589" s="8"/>
      <c r="U589" s="34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90"/>
      <c r="R590" s="8"/>
      <c r="S590" s="8"/>
      <c r="T590" s="8"/>
      <c r="U590" s="34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90"/>
      <c r="R591" s="8"/>
      <c r="S591" s="8"/>
      <c r="T591" s="8"/>
      <c r="U591" s="34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90"/>
      <c r="R592" s="8"/>
      <c r="S592" s="8"/>
      <c r="T592" s="8"/>
      <c r="U592" s="34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90"/>
      <c r="R593" s="8"/>
      <c r="S593" s="8"/>
      <c r="T593" s="8"/>
      <c r="U593" s="34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90"/>
      <c r="R594" s="8"/>
      <c r="S594" s="8"/>
      <c r="T594" s="8"/>
      <c r="U594" s="34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90"/>
      <c r="R595" s="8"/>
      <c r="S595" s="8"/>
      <c r="T595" s="8"/>
      <c r="U595" s="34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90"/>
      <c r="R596" s="8"/>
      <c r="S596" s="8"/>
      <c r="T596" s="8"/>
      <c r="U596" s="34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90"/>
      <c r="R597" s="8"/>
      <c r="S597" s="8"/>
      <c r="T597" s="8"/>
      <c r="U597" s="34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90"/>
      <c r="R598" s="8"/>
      <c r="S598" s="8"/>
      <c r="T598" s="8"/>
      <c r="U598" s="34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90"/>
      <c r="R599" s="8"/>
      <c r="S599" s="8"/>
      <c r="T599" s="8"/>
      <c r="U599" s="34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90"/>
      <c r="R600" s="8"/>
      <c r="S600" s="8"/>
      <c r="T600" s="8"/>
      <c r="U600" s="34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90"/>
      <c r="R601" s="8"/>
      <c r="S601" s="8"/>
      <c r="T601" s="8"/>
      <c r="U601" s="34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90"/>
      <c r="R602" s="8"/>
      <c r="S602" s="8"/>
      <c r="T602" s="8"/>
      <c r="U602" s="34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90"/>
      <c r="R603" s="8"/>
      <c r="S603" s="8"/>
      <c r="T603" s="8"/>
      <c r="U603" s="34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90"/>
      <c r="R604" s="8"/>
      <c r="S604" s="8"/>
      <c r="T604" s="8"/>
      <c r="U604" s="34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90"/>
      <c r="R605" s="8"/>
      <c r="S605" s="8"/>
      <c r="T605" s="8"/>
      <c r="U605" s="34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90"/>
      <c r="R606" s="8"/>
      <c r="S606" s="8"/>
      <c r="T606" s="8"/>
      <c r="U606" s="34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90"/>
      <c r="R607" s="8"/>
      <c r="S607" s="8"/>
      <c r="T607" s="8"/>
      <c r="U607" s="34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90"/>
      <c r="R608" s="8"/>
      <c r="S608" s="8"/>
      <c r="T608" s="8"/>
      <c r="U608" s="34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90"/>
      <c r="R609" s="8"/>
      <c r="S609" s="8"/>
      <c r="T609" s="8"/>
      <c r="U609" s="34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90"/>
      <c r="R610" s="8"/>
      <c r="S610" s="8"/>
      <c r="T610" s="8"/>
      <c r="U610" s="34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90"/>
      <c r="R611" s="8"/>
      <c r="S611" s="8"/>
      <c r="T611" s="8"/>
      <c r="U611" s="34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90"/>
      <c r="R612" s="8"/>
      <c r="S612" s="8"/>
      <c r="T612" s="8"/>
      <c r="U612" s="34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90"/>
      <c r="R613" s="8"/>
      <c r="S613" s="8"/>
      <c r="T613" s="8"/>
      <c r="U613" s="34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90"/>
      <c r="R614" s="8"/>
      <c r="S614" s="8"/>
      <c r="T614" s="8"/>
      <c r="U614" s="34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90"/>
      <c r="R615" s="8"/>
      <c r="S615" s="8"/>
      <c r="T615" s="8"/>
      <c r="U615" s="34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90"/>
      <c r="R616" s="8"/>
      <c r="S616" s="8"/>
      <c r="T616" s="8"/>
      <c r="U616" s="34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90"/>
      <c r="R617" s="8"/>
      <c r="S617" s="8"/>
      <c r="T617" s="8"/>
      <c r="U617" s="34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90"/>
      <c r="R618" s="8"/>
      <c r="S618" s="8"/>
      <c r="T618" s="8"/>
      <c r="U618" s="34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90"/>
      <c r="R619" s="8"/>
      <c r="S619" s="8"/>
      <c r="T619" s="8"/>
      <c r="U619" s="34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90"/>
      <c r="R620" s="8"/>
      <c r="S620" s="8"/>
      <c r="T620" s="8"/>
      <c r="U620" s="34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90"/>
      <c r="R621" s="8"/>
      <c r="S621" s="8"/>
      <c r="T621" s="8"/>
      <c r="U621" s="34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90"/>
      <c r="R622" s="8"/>
      <c r="S622" s="8"/>
      <c r="T622" s="8"/>
      <c r="U622" s="34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90"/>
      <c r="R623" s="8"/>
      <c r="S623" s="8"/>
      <c r="T623" s="8"/>
      <c r="U623" s="34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90"/>
      <c r="R624" s="8"/>
      <c r="S624" s="8"/>
      <c r="T624" s="8"/>
      <c r="U624" s="34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90"/>
      <c r="R625" s="8"/>
      <c r="S625" s="8"/>
      <c r="T625" s="8"/>
      <c r="U625" s="34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90"/>
      <c r="R626" s="8"/>
      <c r="S626" s="8"/>
      <c r="T626" s="8"/>
      <c r="U626" s="34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90"/>
      <c r="R627" s="8"/>
      <c r="S627" s="8"/>
      <c r="T627" s="8"/>
      <c r="U627" s="34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90"/>
      <c r="R628" s="8"/>
      <c r="S628" s="8"/>
      <c r="T628" s="8"/>
      <c r="U628" s="34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90"/>
      <c r="R629" s="8"/>
      <c r="S629" s="8"/>
      <c r="T629" s="8"/>
      <c r="U629" s="34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90"/>
      <c r="R630" s="8"/>
      <c r="S630" s="8"/>
      <c r="T630" s="8"/>
      <c r="U630" s="34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90"/>
      <c r="R631" s="8"/>
      <c r="S631" s="8"/>
      <c r="T631" s="8"/>
      <c r="U631" s="34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90"/>
      <c r="R632" s="8"/>
      <c r="S632" s="8"/>
      <c r="T632" s="8"/>
      <c r="U632" s="34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90"/>
      <c r="R633" s="8"/>
      <c r="S633" s="8"/>
      <c r="T633" s="8"/>
      <c r="U633" s="34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90"/>
      <c r="R634" s="8"/>
      <c r="S634" s="8"/>
      <c r="T634" s="8"/>
      <c r="U634" s="34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90"/>
      <c r="R635" s="8"/>
      <c r="S635" s="8"/>
      <c r="T635" s="8"/>
      <c r="U635" s="34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90"/>
      <c r="R636" s="8"/>
      <c r="S636" s="8"/>
      <c r="T636" s="8"/>
      <c r="U636" s="34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90"/>
      <c r="R637" s="8"/>
      <c r="S637" s="8"/>
      <c r="T637" s="8"/>
      <c r="U637" s="34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90"/>
      <c r="R638" s="8"/>
      <c r="S638" s="8"/>
      <c r="T638" s="8"/>
      <c r="U638" s="34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90"/>
      <c r="R639" s="8"/>
      <c r="S639" s="8"/>
      <c r="T639" s="8"/>
      <c r="U639" s="34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90"/>
      <c r="R640" s="8"/>
      <c r="S640" s="8"/>
      <c r="T640" s="8"/>
      <c r="U640" s="34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90"/>
      <c r="R641" s="8"/>
      <c r="S641" s="8"/>
      <c r="T641" s="8"/>
      <c r="U641" s="34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90"/>
      <c r="R642" s="8"/>
      <c r="S642" s="8"/>
      <c r="T642" s="8"/>
      <c r="U642" s="34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90"/>
      <c r="R643" s="8"/>
      <c r="S643" s="8"/>
      <c r="T643" s="8"/>
      <c r="U643" s="34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90"/>
      <c r="R644" s="8"/>
      <c r="S644" s="8"/>
      <c r="T644" s="8"/>
      <c r="U644" s="34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90"/>
      <c r="R645" s="8"/>
      <c r="S645" s="8"/>
      <c r="T645" s="8"/>
      <c r="U645" s="34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90"/>
      <c r="R646" s="8"/>
      <c r="S646" s="8"/>
      <c r="T646" s="8"/>
      <c r="U646" s="34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90"/>
      <c r="R647" s="8"/>
      <c r="S647" s="8"/>
      <c r="T647" s="8"/>
      <c r="U647" s="34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90"/>
      <c r="R648" s="8"/>
      <c r="S648" s="8"/>
      <c r="T648" s="8"/>
      <c r="U648" s="34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90"/>
      <c r="R649" s="8"/>
      <c r="S649" s="8"/>
      <c r="T649" s="8"/>
      <c r="U649" s="34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90"/>
      <c r="R650" s="8"/>
      <c r="S650" s="8"/>
      <c r="T650" s="8"/>
      <c r="U650" s="34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90"/>
      <c r="R651" s="8"/>
      <c r="S651" s="8"/>
      <c r="T651" s="8"/>
      <c r="U651" s="34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90"/>
      <c r="R652" s="8"/>
      <c r="S652" s="8"/>
      <c r="T652" s="8"/>
      <c r="U652" s="34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90"/>
      <c r="R653" s="8"/>
      <c r="S653" s="8"/>
      <c r="T653" s="8"/>
      <c r="U653" s="34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90"/>
      <c r="R654" s="8"/>
      <c r="S654" s="8"/>
      <c r="T654" s="8"/>
      <c r="U654" s="34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90"/>
      <c r="R655" s="8"/>
      <c r="S655" s="8"/>
      <c r="T655" s="8"/>
      <c r="U655" s="34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90"/>
      <c r="R656" s="8"/>
      <c r="S656" s="8"/>
      <c r="T656" s="8"/>
      <c r="U656" s="34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90"/>
      <c r="R657" s="8"/>
      <c r="S657" s="8"/>
      <c r="T657" s="8"/>
      <c r="U657" s="34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90"/>
      <c r="R658" s="8"/>
      <c r="S658" s="8"/>
      <c r="T658" s="8"/>
      <c r="U658" s="34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90"/>
      <c r="R659" s="8"/>
      <c r="S659" s="8"/>
      <c r="T659" s="8"/>
      <c r="U659" s="34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90"/>
      <c r="R660" s="8"/>
      <c r="S660" s="8"/>
      <c r="T660" s="8"/>
      <c r="U660" s="34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90"/>
      <c r="R661" s="8"/>
      <c r="S661" s="8"/>
      <c r="T661" s="8"/>
      <c r="U661" s="34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90"/>
      <c r="R662" s="8"/>
      <c r="S662" s="8"/>
      <c r="T662" s="8"/>
      <c r="U662" s="34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90"/>
      <c r="R663" s="8"/>
      <c r="S663" s="8"/>
      <c r="T663" s="8"/>
      <c r="U663" s="34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90"/>
      <c r="R664" s="8"/>
      <c r="S664" s="8"/>
      <c r="T664" s="8"/>
      <c r="U664" s="34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90"/>
      <c r="R665" s="8"/>
      <c r="S665" s="8"/>
      <c r="T665" s="8"/>
      <c r="U665" s="34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90"/>
      <c r="R666" s="8"/>
      <c r="S666" s="8"/>
      <c r="T666" s="8"/>
      <c r="U666" s="34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90"/>
      <c r="R667" s="8"/>
      <c r="S667" s="8"/>
      <c r="T667" s="8"/>
      <c r="U667" s="34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90"/>
      <c r="R668" s="8"/>
      <c r="S668" s="8"/>
      <c r="T668" s="8"/>
      <c r="U668" s="34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90"/>
      <c r="R669" s="8"/>
      <c r="S669" s="8"/>
      <c r="T669" s="8"/>
      <c r="U669" s="34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90"/>
      <c r="R670" s="8"/>
      <c r="S670" s="8"/>
      <c r="T670" s="8"/>
      <c r="U670" s="34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90"/>
      <c r="R671" s="8"/>
      <c r="S671" s="8"/>
      <c r="T671" s="8"/>
      <c r="U671" s="34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90"/>
      <c r="R672" s="8"/>
      <c r="S672" s="8"/>
      <c r="T672" s="8"/>
      <c r="U672" s="34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90"/>
      <c r="R673" s="8"/>
      <c r="S673" s="8"/>
      <c r="T673" s="8"/>
      <c r="U673" s="34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90"/>
      <c r="R674" s="8"/>
      <c r="S674" s="8"/>
      <c r="T674" s="8"/>
      <c r="U674" s="34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90"/>
      <c r="R675" s="8"/>
      <c r="S675" s="8"/>
      <c r="T675" s="8"/>
      <c r="U675" s="34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90"/>
      <c r="R676" s="8"/>
      <c r="S676" s="8"/>
      <c r="T676" s="8"/>
      <c r="U676" s="34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90"/>
      <c r="R677" s="8"/>
      <c r="S677" s="8"/>
      <c r="T677" s="8"/>
      <c r="U677" s="34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90"/>
      <c r="R678" s="8"/>
      <c r="S678" s="8"/>
      <c r="T678" s="8"/>
      <c r="U678" s="34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90"/>
      <c r="R679" s="8"/>
      <c r="S679" s="8"/>
      <c r="T679" s="8"/>
      <c r="U679" s="34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90"/>
      <c r="R680" s="8"/>
      <c r="S680" s="8"/>
      <c r="T680" s="8"/>
      <c r="U680" s="34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90"/>
      <c r="R681" s="8"/>
      <c r="S681" s="8"/>
      <c r="T681" s="8"/>
      <c r="U681" s="34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90"/>
      <c r="R682" s="8"/>
      <c r="S682" s="8"/>
      <c r="T682" s="8"/>
      <c r="U682" s="34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90"/>
      <c r="R683" s="8"/>
      <c r="S683" s="8"/>
      <c r="T683" s="8"/>
      <c r="U683" s="34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90"/>
      <c r="R684" s="8"/>
      <c r="S684" s="8"/>
      <c r="T684" s="8"/>
      <c r="U684" s="34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90"/>
      <c r="R685" s="8"/>
      <c r="S685" s="8"/>
      <c r="T685" s="8"/>
      <c r="U685" s="34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90"/>
      <c r="R686" s="8"/>
      <c r="S686" s="8"/>
      <c r="T686" s="8"/>
      <c r="U686" s="34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90"/>
      <c r="R687" s="8"/>
      <c r="S687" s="8"/>
      <c r="T687" s="8"/>
      <c r="U687" s="34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90"/>
      <c r="R688" s="8"/>
      <c r="S688" s="8"/>
      <c r="T688" s="8"/>
      <c r="U688" s="34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90"/>
      <c r="R689" s="8"/>
      <c r="S689" s="8"/>
      <c r="T689" s="8"/>
      <c r="U689" s="34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90"/>
      <c r="R690" s="8"/>
      <c r="S690" s="8"/>
      <c r="T690" s="8"/>
      <c r="U690" s="34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90"/>
      <c r="R691" s="8"/>
      <c r="S691" s="8"/>
      <c r="T691" s="8"/>
      <c r="U691" s="34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90"/>
      <c r="R692" s="8"/>
      <c r="S692" s="8"/>
      <c r="T692" s="8"/>
      <c r="U692" s="34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90"/>
      <c r="R693" s="8"/>
      <c r="S693" s="8"/>
      <c r="T693" s="8"/>
      <c r="U693" s="34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90"/>
      <c r="R694" s="8"/>
      <c r="S694" s="8"/>
      <c r="T694" s="8"/>
      <c r="U694" s="34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90"/>
      <c r="R695" s="8"/>
      <c r="S695" s="8"/>
      <c r="T695" s="8"/>
      <c r="U695" s="34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90"/>
      <c r="R696" s="8"/>
      <c r="S696" s="8"/>
      <c r="T696" s="8"/>
      <c r="U696" s="34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90"/>
      <c r="R697" s="8"/>
      <c r="S697" s="8"/>
      <c r="T697" s="8"/>
      <c r="U697" s="34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90"/>
      <c r="R698" s="8"/>
      <c r="S698" s="8"/>
      <c r="T698" s="8"/>
      <c r="U698" s="34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90"/>
      <c r="R699" s="8"/>
      <c r="S699" s="8"/>
      <c r="T699" s="8"/>
      <c r="U699" s="34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90"/>
      <c r="R700" s="8"/>
      <c r="S700" s="8"/>
      <c r="T700" s="8"/>
      <c r="U700" s="34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90"/>
      <c r="R701" s="8"/>
      <c r="S701" s="8"/>
      <c r="T701" s="8"/>
      <c r="U701" s="34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90"/>
      <c r="R702" s="8"/>
      <c r="S702" s="8"/>
      <c r="T702" s="8"/>
      <c r="U702" s="34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90"/>
      <c r="R703" s="8"/>
      <c r="S703" s="8"/>
      <c r="T703" s="8"/>
      <c r="U703" s="34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90"/>
      <c r="R704" s="8"/>
      <c r="S704" s="8"/>
      <c r="T704" s="8"/>
      <c r="U704" s="34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90"/>
      <c r="R705" s="8"/>
      <c r="S705" s="8"/>
      <c r="T705" s="8"/>
      <c r="U705" s="34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90"/>
      <c r="R706" s="8"/>
      <c r="S706" s="8"/>
      <c r="T706" s="8"/>
      <c r="U706" s="34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90"/>
      <c r="R707" s="8"/>
      <c r="S707" s="8"/>
      <c r="T707" s="8"/>
      <c r="U707" s="34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90"/>
      <c r="R708" s="8"/>
      <c r="S708" s="8"/>
      <c r="T708" s="8"/>
      <c r="U708" s="34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90"/>
      <c r="R709" s="8"/>
      <c r="S709" s="8"/>
      <c r="T709" s="8"/>
      <c r="U709" s="34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90"/>
      <c r="R710" s="8"/>
      <c r="S710" s="8"/>
      <c r="T710" s="8"/>
      <c r="U710" s="34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90"/>
      <c r="R711" s="8"/>
      <c r="S711" s="8"/>
      <c r="T711" s="8"/>
      <c r="U711" s="34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90"/>
      <c r="R712" s="8"/>
      <c r="S712" s="8"/>
      <c r="T712" s="8"/>
      <c r="U712" s="34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90"/>
      <c r="R713" s="8"/>
      <c r="S713" s="8"/>
      <c r="T713" s="8"/>
      <c r="U713" s="34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90"/>
      <c r="R714" s="8"/>
      <c r="S714" s="8"/>
      <c r="T714" s="8"/>
      <c r="U714" s="34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90"/>
      <c r="R715" s="8"/>
      <c r="S715" s="8"/>
      <c r="T715" s="8"/>
      <c r="U715" s="34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90"/>
      <c r="R716" s="8"/>
      <c r="S716" s="8"/>
      <c r="T716" s="8"/>
      <c r="U716" s="34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90"/>
      <c r="R717" s="8"/>
      <c r="S717" s="8"/>
      <c r="T717" s="8"/>
      <c r="U717" s="34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90"/>
      <c r="R718" s="8"/>
      <c r="S718" s="8"/>
      <c r="T718" s="8"/>
      <c r="U718" s="34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90"/>
      <c r="R719" s="8"/>
      <c r="S719" s="8"/>
      <c r="T719" s="8"/>
      <c r="U719" s="34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90"/>
      <c r="R720" s="8"/>
      <c r="S720" s="8"/>
      <c r="T720" s="8"/>
      <c r="U720" s="34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90"/>
      <c r="R721" s="8"/>
      <c r="S721" s="8"/>
      <c r="T721" s="8"/>
      <c r="U721" s="34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90"/>
      <c r="R722" s="8"/>
      <c r="S722" s="8"/>
      <c r="T722" s="8"/>
      <c r="U722" s="34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90"/>
      <c r="R723" s="8"/>
      <c r="S723" s="8"/>
      <c r="T723" s="8"/>
      <c r="U723" s="34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90"/>
      <c r="R724" s="8"/>
      <c r="S724" s="8"/>
      <c r="T724" s="8"/>
      <c r="U724" s="34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90"/>
      <c r="R725" s="8"/>
      <c r="S725" s="8"/>
      <c r="T725" s="8"/>
      <c r="U725" s="34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90"/>
      <c r="R726" s="8"/>
      <c r="S726" s="8"/>
      <c r="T726" s="8"/>
      <c r="U726" s="34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90"/>
      <c r="R727" s="8"/>
      <c r="S727" s="8"/>
      <c r="T727" s="8"/>
      <c r="U727" s="34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90"/>
      <c r="R728" s="8"/>
      <c r="S728" s="8"/>
      <c r="T728" s="8"/>
      <c r="U728" s="34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90"/>
      <c r="R729" s="8"/>
      <c r="S729" s="8"/>
      <c r="T729" s="8"/>
      <c r="U729" s="34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90"/>
      <c r="R730" s="8"/>
      <c r="S730" s="8"/>
      <c r="T730" s="8"/>
      <c r="U730" s="34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90"/>
      <c r="R731" s="8"/>
      <c r="S731" s="8"/>
      <c r="T731" s="8"/>
      <c r="U731" s="34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90"/>
      <c r="R732" s="8"/>
      <c r="S732" s="8"/>
      <c r="T732" s="8"/>
      <c r="U732" s="34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90"/>
      <c r="R733" s="8"/>
      <c r="S733" s="8"/>
      <c r="T733" s="8"/>
      <c r="U733" s="34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90"/>
      <c r="R734" s="8"/>
      <c r="S734" s="8"/>
      <c r="T734" s="8"/>
      <c r="U734" s="34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90"/>
      <c r="R735" s="8"/>
      <c r="S735" s="8"/>
      <c r="T735" s="8"/>
      <c r="U735" s="34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90"/>
      <c r="R736" s="8"/>
      <c r="S736" s="8"/>
      <c r="T736" s="8"/>
      <c r="U736" s="34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90"/>
      <c r="R737" s="8"/>
      <c r="S737" s="8"/>
      <c r="T737" s="8"/>
      <c r="U737" s="34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90"/>
      <c r="R738" s="8"/>
      <c r="S738" s="8"/>
      <c r="T738" s="8"/>
      <c r="U738" s="34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90"/>
      <c r="R739" s="8"/>
      <c r="S739" s="8"/>
      <c r="T739" s="8"/>
      <c r="U739" s="34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90"/>
      <c r="R740" s="8"/>
      <c r="S740" s="8"/>
      <c r="T740" s="8"/>
      <c r="U740" s="34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90"/>
      <c r="R741" s="8"/>
      <c r="S741" s="8"/>
      <c r="T741" s="8"/>
      <c r="U741" s="34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90"/>
      <c r="R742" s="8"/>
      <c r="S742" s="8"/>
      <c r="T742" s="8"/>
      <c r="U742" s="34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90"/>
      <c r="R743" s="8"/>
      <c r="S743" s="8"/>
      <c r="T743" s="8"/>
      <c r="U743" s="34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90"/>
      <c r="R744" s="8"/>
      <c r="S744" s="8"/>
      <c r="T744" s="8"/>
      <c r="U744" s="34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90"/>
      <c r="R745" s="8"/>
      <c r="S745" s="8"/>
      <c r="T745" s="8"/>
      <c r="U745" s="34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90"/>
      <c r="R746" s="8"/>
      <c r="S746" s="8"/>
      <c r="T746" s="8"/>
      <c r="U746" s="34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90"/>
      <c r="R747" s="8"/>
      <c r="S747" s="8"/>
      <c r="T747" s="8"/>
      <c r="U747" s="34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90"/>
      <c r="R748" s="8"/>
      <c r="S748" s="8"/>
      <c r="T748" s="8"/>
      <c r="U748" s="34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90"/>
      <c r="R749" s="8"/>
      <c r="S749" s="8"/>
      <c r="T749" s="8"/>
      <c r="U749" s="34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90"/>
      <c r="R750" s="8"/>
      <c r="S750" s="8"/>
      <c r="T750" s="8"/>
      <c r="U750" s="34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90"/>
      <c r="R751" s="8"/>
      <c r="S751" s="8"/>
      <c r="T751" s="8"/>
      <c r="U751" s="34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90"/>
      <c r="R752" s="8"/>
      <c r="S752" s="8"/>
      <c r="T752" s="8"/>
      <c r="U752" s="34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90"/>
      <c r="R753" s="8"/>
      <c r="S753" s="8"/>
      <c r="T753" s="8"/>
      <c r="U753" s="34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90"/>
      <c r="R754" s="8"/>
      <c r="S754" s="8"/>
      <c r="T754" s="8"/>
      <c r="U754" s="34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90"/>
      <c r="R755" s="8"/>
      <c r="S755" s="8"/>
      <c r="T755" s="8"/>
      <c r="U755" s="34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90"/>
      <c r="R756" s="8"/>
      <c r="S756" s="8"/>
      <c r="T756" s="8"/>
      <c r="U756" s="34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90"/>
      <c r="R757" s="8"/>
      <c r="S757" s="8"/>
      <c r="T757" s="8"/>
      <c r="U757" s="34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90"/>
      <c r="R758" s="8"/>
      <c r="S758" s="8"/>
      <c r="T758" s="8"/>
      <c r="U758" s="34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90"/>
      <c r="R759" s="8"/>
      <c r="S759" s="8"/>
      <c r="T759" s="8"/>
      <c r="U759" s="34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90"/>
      <c r="R760" s="8"/>
      <c r="S760" s="8"/>
      <c r="T760" s="8"/>
      <c r="U760" s="34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90"/>
      <c r="R761" s="8"/>
      <c r="S761" s="8"/>
      <c r="T761" s="8"/>
      <c r="U761" s="34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90"/>
      <c r="R762" s="8"/>
      <c r="S762" s="8"/>
      <c r="T762" s="8"/>
      <c r="U762" s="34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90"/>
      <c r="R763" s="8"/>
      <c r="S763" s="8"/>
      <c r="T763" s="8"/>
      <c r="U763" s="34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90"/>
      <c r="R764" s="8"/>
      <c r="S764" s="8"/>
      <c r="T764" s="8"/>
      <c r="U764" s="34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90"/>
      <c r="R765" s="8"/>
      <c r="S765" s="8"/>
      <c r="T765" s="8"/>
      <c r="U765" s="34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90"/>
      <c r="R766" s="8"/>
      <c r="S766" s="8"/>
      <c r="T766" s="8"/>
      <c r="U766" s="34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90"/>
      <c r="R767" s="8"/>
      <c r="S767" s="8"/>
      <c r="T767" s="8"/>
      <c r="U767" s="34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90"/>
      <c r="R768" s="8"/>
      <c r="S768" s="8"/>
      <c r="T768" s="8"/>
      <c r="U768" s="34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90"/>
      <c r="R769" s="8"/>
      <c r="S769" s="8"/>
      <c r="T769" s="8"/>
      <c r="U769" s="34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90"/>
      <c r="R770" s="8"/>
      <c r="S770" s="8"/>
      <c r="T770" s="8"/>
      <c r="U770" s="34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90"/>
      <c r="R771" s="8"/>
      <c r="S771" s="8"/>
      <c r="T771" s="8"/>
      <c r="U771" s="34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90"/>
      <c r="R772" s="8"/>
      <c r="S772" s="8"/>
      <c r="T772" s="8"/>
      <c r="U772" s="34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90"/>
      <c r="R773" s="8"/>
      <c r="S773" s="8"/>
      <c r="T773" s="8"/>
      <c r="U773" s="34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90"/>
      <c r="R774" s="8"/>
      <c r="S774" s="8"/>
      <c r="T774" s="8"/>
      <c r="U774" s="34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90"/>
      <c r="R775" s="8"/>
      <c r="S775" s="8"/>
      <c r="T775" s="8"/>
      <c r="U775" s="34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90"/>
      <c r="R776" s="8"/>
      <c r="S776" s="8"/>
      <c r="T776" s="8"/>
      <c r="U776" s="34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90"/>
      <c r="R777" s="8"/>
      <c r="S777" s="8"/>
      <c r="T777" s="8"/>
      <c r="U777" s="34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90"/>
      <c r="R778" s="8"/>
      <c r="S778" s="8"/>
      <c r="T778" s="8"/>
      <c r="U778" s="34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90"/>
      <c r="R779" s="8"/>
      <c r="S779" s="8"/>
      <c r="T779" s="8"/>
      <c r="U779" s="34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90"/>
      <c r="R780" s="8"/>
      <c r="S780" s="8"/>
      <c r="T780" s="8"/>
      <c r="U780" s="34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90"/>
      <c r="R781" s="8"/>
      <c r="S781" s="8"/>
      <c r="T781" s="8"/>
      <c r="U781" s="34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90"/>
      <c r="R782" s="8"/>
      <c r="S782" s="8"/>
      <c r="T782" s="8"/>
      <c r="U782" s="34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90"/>
      <c r="R783" s="8"/>
      <c r="S783" s="8"/>
      <c r="T783" s="8"/>
      <c r="U783" s="34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90"/>
      <c r="R784" s="8"/>
      <c r="S784" s="8"/>
      <c r="T784" s="8"/>
      <c r="U784" s="34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90"/>
      <c r="R785" s="8"/>
      <c r="S785" s="8"/>
      <c r="T785" s="8"/>
      <c r="U785" s="34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90"/>
      <c r="R786" s="8"/>
      <c r="S786" s="8"/>
      <c r="T786" s="8"/>
      <c r="U786" s="34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90"/>
      <c r="R787" s="8"/>
      <c r="S787" s="8"/>
      <c r="T787" s="8"/>
      <c r="U787" s="34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90"/>
      <c r="R788" s="8"/>
      <c r="S788" s="8"/>
      <c r="T788" s="8"/>
      <c r="U788" s="34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90"/>
      <c r="R789" s="8"/>
      <c r="S789" s="8"/>
      <c r="T789" s="8"/>
      <c r="U789" s="34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90"/>
      <c r="R790" s="8"/>
      <c r="S790" s="8"/>
      <c r="T790" s="8"/>
      <c r="U790" s="34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90"/>
      <c r="R791" s="8"/>
      <c r="S791" s="8"/>
      <c r="T791" s="8"/>
      <c r="U791" s="34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90"/>
      <c r="R792" s="8"/>
      <c r="S792" s="8"/>
      <c r="T792" s="8"/>
      <c r="U792" s="34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90"/>
      <c r="R793" s="8"/>
      <c r="S793" s="8"/>
      <c r="T793" s="8"/>
      <c r="U793" s="34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90"/>
      <c r="R794" s="8"/>
      <c r="S794" s="8"/>
      <c r="T794" s="8"/>
      <c r="U794" s="34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90"/>
      <c r="R795" s="8"/>
      <c r="S795" s="8"/>
      <c r="T795" s="8"/>
      <c r="U795" s="34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90"/>
      <c r="R796" s="8"/>
      <c r="S796" s="8"/>
      <c r="T796" s="8"/>
      <c r="U796" s="34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90"/>
      <c r="R797" s="8"/>
      <c r="S797" s="8"/>
      <c r="T797" s="8"/>
      <c r="U797" s="34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90"/>
      <c r="R798" s="8"/>
      <c r="S798" s="8"/>
      <c r="T798" s="8"/>
      <c r="U798" s="34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90"/>
      <c r="R799" s="8"/>
      <c r="S799" s="8"/>
      <c r="T799" s="8"/>
      <c r="U799" s="34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90"/>
      <c r="R800" s="8"/>
      <c r="S800" s="8"/>
      <c r="T800" s="8"/>
      <c r="U800" s="34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90"/>
      <c r="R801" s="8"/>
      <c r="S801" s="8"/>
      <c r="T801" s="8"/>
      <c r="U801" s="34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90"/>
      <c r="R802" s="8"/>
      <c r="S802" s="8"/>
      <c r="T802" s="8"/>
      <c r="U802" s="34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90"/>
      <c r="R803" s="8"/>
      <c r="S803" s="8"/>
      <c r="T803" s="8"/>
      <c r="U803" s="34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90"/>
      <c r="R804" s="8"/>
      <c r="S804" s="8"/>
      <c r="T804" s="8"/>
      <c r="U804" s="34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90"/>
      <c r="R805" s="8"/>
      <c r="S805" s="8"/>
      <c r="T805" s="8"/>
      <c r="U805" s="34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90"/>
      <c r="R806" s="8"/>
      <c r="S806" s="8"/>
      <c r="T806" s="8"/>
      <c r="U806" s="34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90"/>
      <c r="R807" s="8"/>
      <c r="S807" s="8"/>
      <c r="T807" s="8"/>
      <c r="U807" s="34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90"/>
      <c r="R808" s="8"/>
      <c r="S808" s="8"/>
      <c r="T808" s="8"/>
      <c r="U808" s="34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90"/>
      <c r="R809" s="8"/>
      <c r="S809" s="8"/>
      <c r="T809" s="8"/>
      <c r="U809" s="34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90"/>
      <c r="R810" s="8"/>
      <c r="S810" s="8"/>
      <c r="T810" s="8"/>
      <c r="U810" s="34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90"/>
      <c r="R811" s="8"/>
      <c r="S811" s="8"/>
      <c r="T811" s="8"/>
      <c r="U811" s="34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90"/>
      <c r="R812" s="8"/>
      <c r="S812" s="8"/>
      <c r="T812" s="8"/>
      <c r="U812" s="34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90"/>
      <c r="R813" s="8"/>
      <c r="S813" s="8"/>
      <c r="T813" s="8"/>
      <c r="U813" s="34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90"/>
      <c r="R814" s="8"/>
      <c r="S814" s="8"/>
      <c r="T814" s="8"/>
      <c r="U814" s="34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90"/>
      <c r="R815" s="8"/>
      <c r="S815" s="8"/>
      <c r="T815" s="8"/>
      <c r="U815" s="34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90"/>
      <c r="R816" s="8"/>
      <c r="S816" s="8"/>
      <c r="T816" s="8"/>
      <c r="U816" s="34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90"/>
      <c r="R817" s="8"/>
      <c r="S817" s="8"/>
      <c r="T817" s="8"/>
      <c r="U817" s="34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90"/>
      <c r="R818" s="8"/>
      <c r="S818" s="8"/>
      <c r="T818" s="8"/>
      <c r="U818" s="34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90"/>
      <c r="R819" s="8"/>
      <c r="S819" s="8"/>
      <c r="T819" s="8"/>
      <c r="U819" s="34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90"/>
      <c r="R820" s="8"/>
      <c r="S820" s="8"/>
      <c r="T820" s="8"/>
      <c r="U820" s="34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90"/>
      <c r="R821" s="8"/>
      <c r="S821" s="8"/>
      <c r="T821" s="8"/>
      <c r="U821" s="34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90"/>
      <c r="R822" s="8"/>
      <c r="S822" s="8"/>
      <c r="T822" s="8"/>
      <c r="U822" s="34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90"/>
      <c r="R823" s="8"/>
      <c r="S823" s="8"/>
      <c r="T823" s="8"/>
      <c r="U823" s="34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90"/>
      <c r="R824" s="8"/>
      <c r="S824" s="8"/>
      <c r="T824" s="8"/>
      <c r="U824" s="34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90"/>
      <c r="R825" s="8"/>
      <c r="S825" s="8"/>
      <c r="T825" s="8"/>
      <c r="U825" s="34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90"/>
      <c r="R826" s="8"/>
      <c r="S826" s="8"/>
      <c r="T826" s="8"/>
      <c r="U826" s="34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90"/>
      <c r="R827" s="8"/>
      <c r="S827" s="8"/>
      <c r="T827" s="8"/>
      <c r="U827" s="34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90"/>
      <c r="R828" s="8"/>
      <c r="S828" s="8"/>
      <c r="T828" s="8"/>
      <c r="U828" s="34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90"/>
      <c r="R829" s="8"/>
      <c r="S829" s="8"/>
      <c r="T829" s="8"/>
      <c r="U829" s="34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90"/>
      <c r="R830" s="8"/>
      <c r="S830" s="8"/>
      <c r="T830" s="8"/>
      <c r="U830" s="34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90"/>
      <c r="R831" s="8"/>
      <c r="S831" s="8"/>
      <c r="T831" s="8"/>
      <c r="U831" s="34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90"/>
      <c r="R832" s="8"/>
      <c r="S832" s="8"/>
      <c r="T832" s="8"/>
      <c r="U832" s="34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90"/>
      <c r="R833" s="8"/>
      <c r="S833" s="8"/>
      <c r="T833" s="8"/>
      <c r="U833" s="34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90"/>
      <c r="R834" s="8"/>
      <c r="S834" s="8"/>
      <c r="T834" s="8"/>
      <c r="U834" s="34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90"/>
      <c r="R835" s="8"/>
      <c r="S835" s="8"/>
      <c r="T835" s="8"/>
      <c r="U835" s="34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90"/>
      <c r="R836" s="8"/>
      <c r="S836" s="8"/>
      <c r="T836" s="8"/>
      <c r="U836" s="34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90"/>
      <c r="R837" s="8"/>
      <c r="S837" s="8"/>
      <c r="T837" s="8"/>
      <c r="U837" s="34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90"/>
      <c r="R838" s="8"/>
      <c r="S838" s="8"/>
      <c r="T838" s="8"/>
      <c r="U838" s="34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90"/>
      <c r="R839" s="8"/>
      <c r="S839" s="8"/>
      <c r="T839" s="8"/>
      <c r="U839" s="34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90"/>
      <c r="R840" s="8"/>
      <c r="S840" s="8"/>
      <c r="T840" s="8"/>
      <c r="U840" s="34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90"/>
      <c r="R841" s="8"/>
      <c r="S841" s="8"/>
      <c r="T841" s="8"/>
      <c r="U841" s="34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90"/>
      <c r="R842" s="8"/>
      <c r="S842" s="8"/>
      <c r="T842" s="8"/>
      <c r="U842" s="34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90"/>
      <c r="R843" s="8"/>
      <c r="S843" s="8"/>
      <c r="T843" s="8"/>
      <c r="U843" s="34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90"/>
      <c r="R844" s="8"/>
      <c r="S844" s="8"/>
      <c r="T844" s="8"/>
      <c r="U844" s="34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90"/>
      <c r="R845" s="8"/>
      <c r="S845" s="8"/>
      <c r="T845" s="8"/>
      <c r="U845" s="34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90"/>
      <c r="R846" s="8"/>
      <c r="S846" s="8"/>
      <c r="T846" s="8"/>
      <c r="U846" s="34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90"/>
      <c r="R847" s="8"/>
      <c r="S847" s="8"/>
      <c r="T847" s="8"/>
      <c r="U847" s="34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90"/>
      <c r="R848" s="8"/>
      <c r="S848" s="8"/>
      <c r="T848" s="8"/>
      <c r="U848" s="34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90"/>
      <c r="R849" s="8"/>
      <c r="S849" s="8"/>
      <c r="T849" s="8"/>
      <c r="U849" s="34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90"/>
      <c r="R850" s="8"/>
      <c r="S850" s="8"/>
      <c r="T850" s="8"/>
      <c r="U850" s="34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90"/>
      <c r="R851" s="8"/>
      <c r="S851" s="8"/>
      <c r="T851" s="8"/>
      <c r="U851" s="34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90"/>
      <c r="R852" s="8"/>
      <c r="S852" s="8"/>
      <c r="T852" s="8"/>
      <c r="U852" s="34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90"/>
      <c r="R853" s="8"/>
      <c r="S853" s="8"/>
      <c r="T853" s="8"/>
      <c r="U853" s="34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90"/>
      <c r="R854" s="8"/>
      <c r="S854" s="8"/>
      <c r="T854" s="8"/>
      <c r="U854" s="34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90"/>
      <c r="R855" s="8"/>
      <c r="S855" s="8"/>
      <c r="T855" s="8"/>
      <c r="U855" s="34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90"/>
      <c r="R856" s="8"/>
      <c r="S856" s="8"/>
      <c r="T856" s="8"/>
      <c r="U856" s="34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90"/>
      <c r="R857" s="8"/>
      <c r="S857" s="8"/>
      <c r="T857" s="8"/>
      <c r="U857" s="34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90"/>
      <c r="R858" s="8"/>
      <c r="S858" s="8"/>
      <c r="T858" s="8"/>
      <c r="U858" s="34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90"/>
      <c r="R859" s="8"/>
      <c r="S859" s="8"/>
      <c r="T859" s="8"/>
      <c r="U859" s="34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90"/>
      <c r="R860" s="8"/>
      <c r="S860" s="8"/>
      <c r="T860" s="8"/>
      <c r="U860" s="34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90"/>
      <c r="R861" s="8"/>
      <c r="S861" s="8"/>
      <c r="T861" s="8"/>
      <c r="U861" s="34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90"/>
      <c r="R862" s="8"/>
      <c r="S862" s="8"/>
      <c r="T862" s="8"/>
      <c r="U862" s="34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90"/>
      <c r="R863" s="8"/>
      <c r="S863" s="8"/>
      <c r="T863" s="8"/>
      <c r="U863" s="34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90"/>
      <c r="R864" s="8"/>
      <c r="S864" s="8"/>
      <c r="T864" s="8"/>
      <c r="U864" s="34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90"/>
      <c r="R865" s="8"/>
      <c r="S865" s="8"/>
      <c r="T865" s="8"/>
      <c r="U865" s="34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90"/>
      <c r="R866" s="8"/>
      <c r="S866" s="8"/>
      <c r="T866" s="8"/>
      <c r="U866" s="34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90"/>
      <c r="R867" s="8"/>
      <c r="S867" s="8"/>
      <c r="T867" s="8"/>
      <c r="U867" s="34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90"/>
      <c r="R868" s="8"/>
      <c r="S868" s="8"/>
      <c r="T868" s="8"/>
      <c r="U868" s="34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90"/>
      <c r="R869" s="8"/>
      <c r="S869" s="8"/>
      <c r="T869" s="8"/>
      <c r="U869" s="34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90"/>
      <c r="R870" s="8"/>
      <c r="S870" s="8"/>
      <c r="T870" s="8"/>
      <c r="U870" s="34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90"/>
      <c r="R871" s="8"/>
      <c r="S871" s="8"/>
      <c r="T871" s="8"/>
      <c r="U871" s="34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90"/>
      <c r="R872" s="8"/>
      <c r="S872" s="8"/>
      <c r="T872" s="8"/>
      <c r="U872" s="34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90"/>
      <c r="R873" s="8"/>
      <c r="S873" s="8"/>
      <c r="T873" s="8"/>
      <c r="U873" s="34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90"/>
      <c r="R874" s="8"/>
      <c r="S874" s="8"/>
      <c r="T874" s="8"/>
      <c r="U874" s="34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90"/>
      <c r="R875" s="8"/>
      <c r="S875" s="8"/>
      <c r="T875" s="8"/>
      <c r="U875" s="34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90"/>
      <c r="R876" s="8"/>
      <c r="S876" s="8"/>
      <c r="T876" s="8"/>
      <c r="U876" s="34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90"/>
      <c r="R877" s="8"/>
      <c r="S877" s="8"/>
      <c r="T877" s="8"/>
      <c r="U877" s="34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90"/>
      <c r="R878" s="8"/>
      <c r="S878" s="8"/>
      <c r="T878" s="8"/>
      <c r="U878" s="34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90"/>
      <c r="R879" s="8"/>
      <c r="S879" s="8"/>
      <c r="T879" s="8"/>
      <c r="U879" s="34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90"/>
      <c r="R880" s="8"/>
      <c r="S880" s="8"/>
      <c r="T880" s="8"/>
      <c r="U880" s="34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90"/>
      <c r="R881" s="8"/>
      <c r="S881" s="8"/>
      <c r="T881" s="8"/>
      <c r="U881" s="34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90"/>
      <c r="R882" s="8"/>
      <c r="S882" s="8"/>
      <c r="T882" s="8"/>
      <c r="U882" s="34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90"/>
      <c r="R883" s="8"/>
      <c r="S883" s="8"/>
      <c r="T883" s="8"/>
      <c r="U883" s="34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90"/>
      <c r="R884" s="8"/>
      <c r="S884" s="8"/>
      <c r="T884" s="8"/>
      <c r="U884" s="34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90"/>
      <c r="R885" s="8"/>
      <c r="S885" s="8"/>
      <c r="T885" s="8"/>
      <c r="U885" s="34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90"/>
      <c r="R886" s="8"/>
      <c r="S886" s="8"/>
      <c r="T886" s="8"/>
      <c r="U886" s="34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90"/>
      <c r="R887" s="8"/>
      <c r="S887" s="8"/>
      <c r="T887" s="8"/>
      <c r="U887" s="34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90"/>
      <c r="R888" s="8"/>
      <c r="S888" s="8"/>
      <c r="T888" s="8"/>
      <c r="U888" s="34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90"/>
      <c r="R889" s="8"/>
      <c r="S889" s="8"/>
      <c r="T889" s="8"/>
      <c r="U889" s="34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90"/>
      <c r="R890" s="8"/>
      <c r="S890" s="8"/>
      <c r="T890" s="8"/>
      <c r="U890" s="34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90"/>
      <c r="R891" s="8"/>
      <c r="S891" s="8"/>
      <c r="T891" s="8"/>
      <c r="U891" s="34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90"/>
      <c r="R892" s="8"/>
      <c r="S892" s="8"/>
      <c r="T892" s="8"/>
      <c r="U892" s="34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90"/>
      <c r="R893" s="8"/>
      <c r="S893" s="8"/>
      <c r="T893" s="8"/>
      <c r="U893" s="34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90"/>
      <c r="R894" s="8"/>
      <c r="S894" s="8"/>
      <c r="T894" s="8"/>
      <c r="U894" s="34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90"/>
      <c r="R895" s="8"/>
      <c r="S895" s="8"/>
      <c r="T895" s="8"/>
      <c r="U895" s="34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90"/>
      <c r="R896" s="8"/>
      <c r="S896" s="8"/>
      <c r="T896" s="8"/>
      <c r="U896" s="34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90"/>
      <c r="R897" s="8"/>
      <c r="S897" s="8"/>
      <c r="T897" s="8"/>
      <c r="U897" s="34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90"/>
      <c r="R898" s="8"/>
      <c r="S898" s="8"/>
      <c r="T898" s="8"/>
      <c r="U898" s="34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90"/>
      <c r="R899" s="8"/>
      <c r="S899" s="8"/>
      <c r="T899" s="8"/>
      <c r="U899" s="34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90"/>
      <c r="R900" s="8"/>
      <c r="S900" s="8"/>
      <c r="T900" s="8"/>
      <c r="U900" s="34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90"/>
      <c r="R901" s="8"/>
      <c r="S901" s="8"/>
      <c r="T901" s="8"/>
      <c r="U901" s="34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90"/>
      <c r="R902" s="8"/>
      <c r="S902" s="8"/>
      <c r="T902" s="8"/>
      <c r="U902" s="34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90"/>
      <c r="R903" s="8"/>
      <c r="S903" s="8"/>
      <c r="T903" s="8"/>
      <c r="U903" s="34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90"/>
      <c r="R904" s="8"/>
      <c r="S904" s="8"/>
      <c r="T904" s="8"/>
      <c r="U904" s="34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90"/>
      <c r="R905" s="8"/>
      <c r="S905" s="8"/>
      <c r="T905" s="8"/>
      <c r="U905" s="34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90"/>
      <c r="R906" s="8"/>
      <c r="S906" s="8"/>
      <c r="T906" s="8"/>
      <c r="U906" s="34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90"/>
      <c r="R907" s="8"/>
      <c r="S907" s="8"/>
      <c r="T907" s="8"/>
      <c r="U907" s="34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90"/>
      <c r="R908" s="8"/>
      <c r="S908" s="8"/>
      <c r="T908" s="8"/>
      <c r="U908" s="34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90"/>
      <c r="R909" s="8"/>
      <c r="S909" s="8"/>
      <c r="T909" s="8"/>
      <c r="U909" s="34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90"/>
      <c r="R910" s="8"/>
      <c r="S910" s="8"/>
      <c r="T910" s="8"/>
      <c r="U910" s="34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90"/>
      <c r="R911" s="8"/>
      <c r="S911" s="8"/>
      <c r="T911" s="8"/>
      <c r="U911" s="34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90"/>
      <c r="R912" s="8"/>
      <c r="S912" s="8"/>
      <c r="T912" s="8"/>
      <c r="U912" s="34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90"/>
      <c r="R913" s="8"/>
      <c r="S913" s="8"/>
      <c r="T913" s="8"/>
      <c r="U913" s="34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90"/>
      <c r="R914" s="8"/>
      <c r="S914" s="8"/>
      <c r="T914" s="8"/>
      <c r="U914" s="34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90"/>
      <c r="R915" s="8"/>
      <c r="S915" s="8"/>
      <c r="T915" s="8"/>
      <c r="U915" s="34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90"/>
      <c r="R916" s="8"/>
      <c r="S916" s="8"/>
      <c r="T916" s="8"/>
      <c r="U916" s="34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90"/>
      <c r="R917" s="8"/>
      <c r="S917" s="8"/>
      <c r="T917" s="8"/>
      <c r="U917" s="34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90"/>
      <c r="R918" s="8"/>
      <c r="S918" s="8"/>
      <c r="T918" s="8"/>
      <c r="U918" s="34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90"/>
      <c r="R919" s="8"/>
      <c r="S919" s="8"/>
      <c r="T919" s="8"/>
      <c r="U919" s="34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90"/>
      <c r="R920" s="8"/>
      <c r="S920" s="8"/>
      <c r="T920" s="8"/>
      <c r="U920" s="34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90"/>
      <c r="R921" s="8"/>
      <c r="S921" s="8"/>
      <c r="T921" s="8"/>
      <c r="U921" s="34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90"/>
      <c r="R922" s="8"/>
      <c r="S922" s="8"/>
      <c r="T922" s="8"/>
      <c r="U922" s="34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90"/>
      <c r="R923" s="8"/>
      <c r="S923" s="8"/>
      <c r="T923" s="8"/>
      <c r="U923" s="34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90"/>
      <c r="R924" s="8"/>
      <c r="S924" s="8"/>
      <c r="T924" s="8"/>
      <c r="U924" s="34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90"/>
      <c r="R925" s="8"/>
      <c r="S925" s="8"/>
      <c r="T925" s="8"/>
      <c r="U925" s="34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90"/>
      <c r="R926" s="8"/>
      <c r="S926" s="8"/>
      <c r="T926" s="8"/>
      <c r="U926" s="34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90"/>
      <c r="R927" s="8"/>
      <c r="S927" s="8"/>
      <c r="T927" s="8"/>
      <c r="U927" s="34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90"/>
      <c r="R928" s="8"/>
      <c r="S928" s="8"/>
      <c r="T928" s="8"/>
      <c r="U928" s="34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90"/>
      <c r="R929" s="8"/>
      <c r="S929" s="8"/>
      <c r="T929" s="8"/>
      <c r="U929" s="34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90"/>
      <c r="R930" s="8"/>
      <c r="S930" s="8"/>
      <c r="T930" s="8"/>
      <c r="U930" s="34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90"/>
      <c r="R931" s="8"/>
      <c r="S931" s="8"/>
      <c r="T931" s="8"/>
      <c r="U931" s="34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90"/>
      <c r="R932" s="8"/>
      <c r="S932" s="8"/>
      <c r="T932" s="8"/>
      <c r="U932" s="34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90"/>
      <c r="R933" s="8"/>
      <c r="S933" s="8"/>
      <c r="T933" s="8"/>
      <c r="U933" s="34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90"/>
      <c r="R934" s="8"/>
      <c r="S934" s="8"/>
      <c r="T934" s="8"/>
      <c r="U934" s="34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90"/>
      <c r="R935" s="8"/>
      <c r="S935" s="8"/>
      <c r="T935" s="8"/>
      <c r="U935" s="34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90"/>
      <c r="R936" s="8"/>
      <c r="S936" s="8"/>
      <c r="T936" s="8"/>
      <c r="U936" s="34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90"/>
      <c r="R937" s="8"/>
      <c r="S937" s="8"/>
      <c r="T937" s="8"/>
      <c r="U937" s="34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90"/>
      <c r="R938" s="8"/>
      <c r="S938" s="8"/>
      <c r="T938" s="8"/>
      <c r="U938" s="34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90"/>
      <c r="R939" s="8"/>
      <c r="S939" s="8"/>
      <c r="T939" s="8"/>
      <c r="U939" s="34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90"/>
      <c r="R940" s="8"/>
      <c r="S940" s="8"/>
      <c r="T940" s="8"/>
      <c r="U940" s="34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90"/>
      <c r="R941" s="8"/>
      <c r="S941" s="8"/>
      <c r="T941" s="8"/>
      <c r="U941" s="34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90"/>
      <c r="R942" s="8"/>
      <c r="S942" s="8"/>
      <c r="T942" s="8"/>
      <c r="U942" s="34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90"/>
      <c r="R943" s="8"/>
      <c r="S943" s="8"/>
      <c r="T943" s="8"/>
      <c r="U943" s="34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90"/>
      <c r="R944" s="8"/>
      <c r="S944" s="8"/>
      <c r="T944" s="8"/>
      <c r="U944" s="34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90"/>
      <c r="R945" s="8"/>
      <c r="S945" s="8"/>
      <c r="T945" s="8"/>
      <c r="U945" s="34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90"/>
      <c r="R946" s="8"/>
      <c r="S946" s="8"/>
      <c r="T946" s="8"/>
      <c r="U946" s="34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90"/>
      <c r="R947" s="8"/>
      <c r="S947" s="8"/>
      <c r="T947" s="8"/>
      <c r="U947" s="34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</row>
    <row r="993">
      <c r="A993" s="91"/>
      <c r="B993" s="91"/>
      <c r="C993" s="91"/>
      <c r="D993" s="91"/>
      <c r="E993" s="91"/>
      <c r="F993" s="91"/>
      <c r="G993" s="91"/>
      <c r="H993" s="91"/>
      <c r="I993" s="91"/>
      <c r="J993" s="91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  <c r="AA993" s="91"/>
      <c r="AB993" s="91"/>
      <c r="AC993" s="91"/>
      <c r="AD993" s="91"/>
      <c r="AE993" s="91"/>
      <c r="AF993" s="91"/>
      <c r="AG993" s="91"/>
      <c r="AH993" s="91"/>
      <c r="AI993" s="91"/>
      <c r="AJ993" s="91"/>
      <c r="AK993" s="91"/>
      <c r="AL993" s="91"/>
      <c r="AM993" s="91"/>
      <c r="AN993" s="91"/>
      <c r="AO993" s="91"/>
      <c r="AP993" s="91"/>
      <c r="AQ993" s="91"/>
      <c r="AR993" s="91"/>
      <c r="AS993" s="91"/>
      <c r="AT993" s="91"/>
      <c r="AU993" s="91"/>
      <c r="AV993" s="91"/>
      <c r="AW993" s="91"/>
      <c r="AX993" s="91"/>
      <c r="AY993" s="91"/>
      <c r="AZ993" s="91"/>
      <c r="BA993" s="91"/>
      <c r="BB993" s="91"/>
      <c r="BC993" s="91"/>
      <c r="BD993" s="91"/>
      <c r="BE993" s="91"/>
      <c r="BF993" s="91"/>
      <c r="BG993" s="91"/>
      <c r="BH993" s="91"/>
      <c r="BI993" s="91"/>
      <c r="BJ993" s="91"/>
    </row>
    <row r="994">
      <c r="A994" s="91"/>
      <c r="B994" s="91"/>
      <c r="C994" s="91"/>
      <c r="D994" s="91"/>
      <c r="E994" s="91"/>
      <c r="F994" s="91"/>
      <c r="G994" s="91"/>
      <c r="H994" s="91"/>
      <c r="I994" s="91"/>
      <c r="J994" s="91"/>
      <c r="K994" s="91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  <c r="AA994" s="91"/>
      <c r="AB994" s="91"/>
      <c r="AC994" s="91"/>
      <c r="AD994" s="91"/>
      <c r="AE994" s="91"/>
      <c r="AF994" s="91"/>
      <c r="AG994" s="91"/>
      <c r="AH994" s="91"/>
      <c r="AI994" s="91"/>
      <c r="AJ994" s="91"/>
      <c r="AK994" s="91"/>
      <c r="AL994" s="91"/>
      <c r="AM994" s="91"/>
      <c r="AN994" s="91"/>
      <c r="AO994" s="91"/>
      <c r="AP994" s="91"/>
      <c r="AQ994" s="91"/>
      <c r="AR994" s="91"/>
      <c r="AS994" s="91"/>
      <c r="AT994" s="91"/>
      <c r="AU994" s="91"/>
      <c r="AV994" s="91"/>
      <c r="AW994" s="91"/>
      <c r="AX994" s="91"/>
      <c r="AY994" s="91"/>
      <c r="AZ994" s="91"/>
      <c r="BA994" s="91"/>
      <c r="BB994" s="91"/>
      <c r="BC994" s="91"/>
      <c r="BD994" s="91"/>
      <c r="BE994" s="91"/>
      <c r="BF994" s="91"/>
      <c r="BG994" s="91"/>
      <c r="BH994" s="91"/>
      <c r="BI994" s="91"/>
      <c r="BJ994" s="91"/>
    </row>
    <row r="995">
      <c r="A995" s="91"/>
      <c r="B995" s="91"/>
      <c r="C995" s="91"/>
      <c r="D995" s="91"/>
      <c r="E995" s="91"/>
      <c r="F995" s="91"/>
      <c r="G995" s="91"/>
      <c r="H995" s="91"/>
      <c r="I995" s="91"/>
      <c r="J995" s="91"/>
      <c r="K995" s="91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  <c r="AA995" s="91"/>
      <c r="AB995" s="91"/>
      <c r="AC995" s="91"/>
      <c r="AD995" s="91"/>
      <c r="AE995" s="91"/>
      <c r="AF995" s="91"/>
      <c r="AG995" s="91"/>
      <c r="AH995" s="91"/>
      <c r="AI995" s="91"/>
      <c r="AJ995" s="91"/>
      <c r="AK995" s="91"/>
      <c r="AL995" s="91"/>
      <c r="AM995" s="91"/>
      <c r="AN995" s="91"/>
      <c r="AO995" s="91"/>
      <c r="AP995" s="91"/>
      <c r="AQ995" s="91"/>
      <c r="AR995" s="91"/>
      <c r="AS995" s="91"/>
      <c r="AT995" s="91"/>
      <c r="AU995" s="91"/>
      <c r="AV995" s="91"/>
      <c r="AW995" s="91"/>
      <c r="AX995" s="91"/>
      <c r="AY995" s="91"/>
      <c r="AZ995" s="91"/>
      <c r="BA995" s="91"/>
      <c r="BB995" s="91"/>
      <c r="BC995" s="91"/>
      <c r="BD995" s="91"/>
      <c r="BE995" s="91"/>
      <c r="BF995" s="91"/>
      <c r="BG995" s="91"/>
      <c r="BH995" s="91"/>
      <c r="BI995" s="91"/>
      <c r="BJ995" s="91"/>
    </row>
    <row r="996">
      <c r="A996" s="91"/>
      <c r="B996" s="91"/>
      <c r="C996" s="91"/>
      <c r="D996" s="91"/>
      <c r="E996" s="91"/>
      <c r="F996" s="91"/>
      <c r="G996" s="91"/>
      <c r="H996" s="91"/>
      <c r="I996" s="91"/>
      <c r="J996" s="91"/>
      <c r="K996" s="91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  <c r="AA996" s="91"/>
      <c r="AB996" s="91"/>
      <c r="AC996" s="91"/>
      <c r="AD996" s="91"/>
      <c r="AE996" s="91"/>
      <c r="AF996" s="91"/>
      <c r="AG996" s="91"/>
      <c r="AH996" s="91"/>
      <c r="AI996" s="91"/>
      <c r="AJ996" s="91"/>
      <c r="AK996" s="91"/>
      <c r="AL996" s="91"/>
      <c r="AM996" s="91"/>
      <c r="AN996" s="91"/>
      <c r="AO996" s="91"/>
      <c r="AP996" s="91"/>
      <c r="AQ996" s="91"/>
      <c r="AR996" s="91"/>
      <c r="AS996" s="91"/>
      <c r="AT996" s="91"/>
      <c r="AU996" s="91"/>
      <c r="AV996" s="91"/>
      <c r="AW996" s="91"/>
      <c r="AX996" s="91"/>
      <c r="AY996" s="91"/>
      <c r="AZ996" s="91"/>
      <c r="BA996" s="91"/>
      <c r="BB996" s="91"/>
      <c r="BC996" s="91"/>
      <c r="BD996" s="91"/>
      <c r="BE996" s="91"/>
      <c r="BF996" s="91"/>
      <c r="BG996" s="91"/>
      <c r="BH996" s="91"/>
      <c r="BI996" s="91"/>
      <c r="BJ996" s="91"/>
    </row>
    <row r="997">
      <c r="A997" s="91"/>
      <c r="B997" s="91"/>
      <c r="C997" s="91"/>
      <c r="D997" s="91"/>
      <c r="E997" s="91"/>
      <c r="F997" s="91"/>
      <c r="G997" s="91"/>
      <c r="H997" s="91"/>
      <c r="I997" s="91"/>
      <c r="J997" s="91"/>
      <c r="K997" s="91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  <c r="AA997" s="91"/>
      <c r="AB997" s="91"/>
      <c r="AC997" s="91"/>
      <c r="AD997" s="91"/>
      <c r="AE997" s="91"/>
      <c r="AF997" s="91"/>
      <c r="AG997" s="91"/>
      <c r="AH997" s="91"/>
      <c r="AI997" s="91"/>
      <c r="AJ997" s="91"/>
      <c r="AK997" s="91"/>
      <c r="AL997" s="91"/>
      <c r="AM997" s="91"/>
      <c r="AN997" s="91"/>
      <c r="AO997" s="91"/>
      <c r="AP997" s="91"/>
      <c r="AQ997" s="91"/>
      <c r="AR997" s="91"/>
      <c r="AS997" s="91"/>
      <c r="AT997" s="91"/>
      <c r="AU997" s="91"/>
      <c r="AV997" s="91"/>
      <c r="AW997" s="91"/>
      <c r="AX997" s="91"/>
      <c r="AY997" s="91"/>
      <c r="AZ997" s="91"/>
      <c r="BA997" s="91"/>
      <c r="BB997" s="91"/>
      <c r="BC997" s="91"/>
      <c r="BD997" s="91"/>
      <c r="BE997" s="91"/>
      <c r="BF997" s="91"/>
      <c r="BG997" s="91"/>
      <c r="BH997" s="91"/>
      <c r="BI997" s="91"/>
      <c r="BJ997" s="91"/>
    </row>
    <row r="998">
      <c r="A998" s="91"/>
      <c r="B998" s="91"/>
      <c r="C998" s="91"/>
      <c r="D998" s="91"/>
      <c r="E998" s="91"/>
      <c r="F998" s="91"/>
      <c r="G998" s="91"/>
      <c r="H998" s="91"/>
      <c r="I998" s="91"/>
      <c r="J998" s="91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  <c r="AA998" s="91"/>
      <c r="AB998" s="91"/>
      <c r="AC998" s="91"/>
      <c r="AD998" s="91"/>
      <c r="AE998" s="91"/>
      <c r="AF998" s="91"/>
      <c r="AG998" s="91"/>
      <c r="AH998" s="91"/>
      <c r="AI998" s="91"/>
      <c r="AJ998" s="91"/>
      <c r="AK998" s="91"/>
      <c r="AL998" s="91"/>
      <c r="AM998" s="91"/>
      <c r="AN998" s="91"/>
      <c r="AO998" s="91"/>
      <c r="AP998" s="91"/>
      <c r="AQ998" s="91"/>
      <c r="AR998" s="91"/>
      <c r="AS998" s="91"/>
      <c r="AT998" s="91"/>
      <c r="AU998" s="91"/>
      <c r="AV998" s="91"/>
      <c r="AW998" s="91"/>
      <c r="AX998" s="91"/>
      <c r="AY998" s="91"/>
      <c r="AZ998" s="91"/>
      <c r="BA998" s="91"/>
      <c r="BB998" s="91"/>
      <c r="BC998" s="91"/>
      <c r="BD998" s="91"/>
      <c r="BE998" s="91"/>
      <c r="BF998" s="91"/>
      <c r="BG998" s="91"/>
      <c r="BH998" s="91"/>
      <c r="BI998" s="91"/>
      <c r="BJ998" s="91"/>
    </row>
    <row r="999">
      <c r="A999" s="91"/>
      <c r="B999" s="91"/>
      <c r="C999" s="91"/>
      <c r="D999" s="91"/>
      <c r="E999" s="91"/>
      <c r="F999" s="91"/>
      <c r="G999" s="91"/>
      <c r="H999" s="91"/>
      <c r="I999" s="91"/>
      <c r="J999" s="91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  <c r="AA999" s="91"/>
      <c r="AB999" s="91"/>
      <c r="AC999" s="91"/>
      <c r="AD999" s="91"/>
      <c r="AE999" s="91"/>
      <c r="AF999" s="91"/>
      <c r="AG999" s="91"/>
      <c r="AH999" s="91"/>
      <c r="AI999" s="91"/>
      <c r="AJ999" s="91"/>
      <c r="AK999" s="91"/>
      <c r="AL999" s="91"/>
      <c r="AM999" s="91"/>
      <c r="AN999" s="91"/>
      <c r="AO999" s="91"/>
      <c r="AP999" s="91"/>
      <c r="AQ999" s="91"/>
      <c r="AR999" s="91"/>
      <c r="AS999" s="91"/>
      <c r="AT999" s="91"/>
      <c r="AU999" s="91"/>
      <c r="AV999" s="91"/>
      <c r="AW999" s="91"/>
      <c r="AX999" s="91"/>
      <c r="AY999" s="91"/>
      <c r="AZ999" s="91"/>
      <c r="BA999" s="91"/>
      <c r="BB999" s="91"/>
      <c r="BC999" s="91"/>
      <c r="BD999" s="91"/>
      <c r="BE999" s="91"/>
      <c r="BF999" s="91"/>
      <c r="BG999" s="91"/>
      <c r="BH999" s="91"/>
      <c r="BI999" s="91"/>
      <c r="BJ999" s="91"/>
    </row>
    <row r="1000">
      <c r="A1000" s="91"/>
      <c r="B1000" s="91"/>
      <c r="C1000" s="91"/>
      <c r="D1000" s="91"/>
      <c r="E1000" s="91"/>
      <c r="F1000" s="91"/>
      <c r="G1000" s="91"/>
      <c r="H1000" s="91"/>
      <c r="I1000" s="91"/>
      <c r="J1000" s="91"/>
      <c r="K1000" s="91"/>
      <c r="L1000" s="91"/>
      <c r="M1000" s="91"/>
      <c r="N1000" s="91"/>
      <c r="O1000" s="91"/>
      <c r="P1000" s="91"/>
      <c r="Q1000" s="91"/>
      <c r="R1000" s="91"/>
      <c r="S1000" s="91"/>
      <c r="T1000" s="91"/>
      <c r="U1000" s="91"/>
      <c r="V1000" s="91"/>
      <c r="W1000" s="91"/>
      <c r="X1000" s="91"/>
      <c r="Y1000" s="91"/>
      <c r="Z1000" s="91"/>
      <c r="AA1000" s="91"/>
      <c r="AB1000" s="91"/>
      <c r="AC1000" s="91"/>
      <c r="AD1000" s="91"/>
      <c r="AE1000" s="91"/>
      <c r="AF1000" s="91"/>
      <c r="AG1000" s="91"/>
      <c r="AH1000" s="91"/>
      <c r="AI1000" s="91"/>
      <c r="AJ1000" s="91"/>
      <c r="AK1000" s="91"/>
      <c r="AL1000" s="91"/>
      <c r="AM1000" s="91"/>
      <c r="AN1000" s="91"/>
      <c r="AO1000" s="91"/>
      <c r="AP1000" s="91"/>
      <c r="AQ1000" s="91"/>
      <c r="AR1000" s="91"/>
      <c r="AS1000" s="91"/>
      <c r="AT1000" s="91"/>
      <c r="AU1000" s="91"/>
      <c r="AV1000" s="91"/>
      <c r="AW1000" s="91"/>
      <c r="AX1000" s="91"/>
      <c r="AY1000" s="91"/>
      <c r="AZ1000" s="91"/>
      <c r="BA1000" s="91"/>
      <c r="BB1000" s="91"/>
      <c r="BC1000" s="91"/>
      <c r="BD1000" s="91"/>
      <c r="BE1000" s="91"/>
      <c r="BF1000" s="91"/>
      <c r="BG1000" s="91"/>
      <c r="BH1000" s="91"/>
      <c r="BI1000" s="91"/>
      <c r="BJ1000" s="91"/>
    </row>
  </sheetData>
  <autoFilter ref="$A$1:$BJ$8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5.38"/>
    <col customWidth="1" min="3" max="3" width="16.5"/>
  </cols>
  <sheetData>
    <row r="1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</row>
    <row r="2">
      <c r="A2" s="92" t="s">
        <v>173</v>
      </c>
      <c r="B2" s="93" t="s">
        <v>174</v>
      </c>
      <c r="C2" s="93" t="s">
        <v>2</v>
      </c>
      <c r="D2" s="94" t="s">
        <v>175</v>
      </c>
      <c r="E2" s="94" t="s">
        <v>176</v>
      </c>
      <c r="F2" s="94" t="s">
        <v>177</v>
      </c>
      <c r="G2" s="94" t="s">
        <v>178</v>
      </c>
      <c r="H2" s="94" t="s">
        <v>23</v>
      </c>
      <c r="I2" s="94" t="s">
        <v>24</v>
      </c>
      <c r="J2" s="94" t="s">
        <v>25</v>
      </c>
      <c r="K2" s="94" t="s">
        <v>26</v>
      </c>
      <c r="L2" s="94" t="s">
        <v>27</v>
      </c>
      <c r="M2" s="94" t="s">
        <v>28</v>
      </c>
      <c r="N2" s="94" t="s">
        <v>29</v>
      </c>
      <c r="O2" s="94" t="s">
        <v>30</v>
      </c>
      <c r="P2" s="95" t="s">
        <v>172</v>
      </c>
      <c r="Q2" s="96">
        <v>2027.0</v>
      </c>
      <c r="R2" s="94" t="s">
        <v>175</v>
      </c>
      <c r="S2" s="94" t="s">
        <v>176</v>
      </c>
      <c r="T2" s="94" t="s">
        <v>177</v>
      </c>
      <c r="U2" s="94" t="s">
        <v>178</v>
      </c>
      <c r="V2" s="94" t="s">
        <v>23</v>
      </c>
      <c r="W2" s="94" t="s">
        <v>24</v>
      </c>
      <c r="X2" s="94" t="s">
        <v>25</v>
      </c>
      <c r="Y2" s="94" t="s">
        <v>26</v>
      </c>
      <c r="Z2" s="94" t="s">
        <v>27</v>
      </c>
      <c r="AA2" s="94" t="s">
        <v>28</v>
      </c>
      <c r="AB2" s="94" t="s">
        <v>29</v>
      </c>
      <c r="AC2" s="94" t="s">
        <v>30</v>
      </c>
    </row>
    <row r="3">
      <c r="A3" s="97" t="s">
        <v>179</v>
      </c>
      <c r="B3" s="40"/>
      <c r="C3" s="40"/>
      <c r="D3" s="40"/>
      <c r="E3" s="40"/>
      <c r="F3" s="40"/>
      <c r="G3" s="59"/>
      <c r="H3" s="59"/>
      <c r="I3" s="59"/>
      <c r="J3" s="59"/>
      <c r="K3" s="59"/>
      <c r="L3" s="59"/>
      <c r="M3" s="59"/>
      <c r="N3" s="59"/>
      <c r="O3" s="59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</row>
    <row r="4">
      <c r="A4" s="98" t="s">
        <v>32</v>
      </c>
      <c r="B4" s="40"/>
      <c r="C4" s="40"/>
      <c r="D4" s="40"/>
      <c r="E4" s="40"/>
      <c r="F4" s="40"/>
      <c r="G4" s="99">
        <f t="shared" ref="G4:O4" si="1">SUM(G5:G26)</f>
        <v>0</v>
      </c>
      <c r="H4" s="99">
        <f t="shared" si="1"/>
        <v>5</v>
      </c>
      <c r="I4" s="99">
        <f t="shared" si="1"/>
        <v>0</v>
      </c>
      <c r="J4" s="99">
        <f t="shared" si="1"/>
        <v>0</v>
      </c>
      <c r="K4" s="99">
        <f t="shared" si="1"/>
        <v>0</v>
      </c>
      <c r="L4" s="99">
        <f t="shared" si="1"/>
        <v>6</v>
      </c>
      <c r="M4" s="99">
        <f t="shared" si="1"/>
        <v>8</v>
      </c>
      <c r="N4" s="99">
        <f t="shared" si="1"/>
        <v>4</v>
      </c>
      <c r="O4" s="99">
        <f t="shared" si="1"/>
        <v>0</v>
      </c>
      <c r="P4" s="99">
        <f>SUM(G4:O4)</f>
        <v>23</v>
      </c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</row>
    <row r="5" outlineLevel="1">
      <c r="A5" s="40"/>
      <c r="B5" s="100" t="s">
        <v>180</v>
      </c>
      <c r="C5" s="101" t="s">
        <v>38</v>
      </c>
      <c r="D5" s="40"/>
      <c r="E5" s="40"/>
      <c r="F5" s="40"/>
      <c r="G5" s="40"/>
      <c r="H5" s="102">
        <v>1.0</v>
      </c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</row>
    <row r="6" outlineLevel="1">
      <c r="A6" s="40"/>
      <c r="C6" s="101" t="s">
        <v>57</v>
      </c>
      <c r="D6" s="40"/>
      <c r="E6" s="40"/>
      <c r="F6" s="40"/>
      <c r="G6" s="40"/>
      <c r="H6" s="102">
        <v>1.0</v>
      </c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</row>
    <row r="7" outlineLevel="1">
      <c r="A7" s="40"/>
      <c r="C7" s="101" t="s">
        <v>64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102">
        <v>1.0</v>
      </c>
      <c r="V7" s="40"/>
      <c r="W7" s="40"/>
      <c r="X7" s="40"/>
      <c r="Y7" s="40"/>
      <c r="Z7" s="40"/>
      <c r="AA7" s="40"/>
      <c r="AB7" s="40"/>
      <c r="AC7" s="40"/>
    </row>
    <row r="8" outlineLevel="1">
      <c r="A8" s="40"/>
      <c r="C8" s="101" t="s">
        <v>157</v>
      </c>
      <c r="D8" s="40"/>
      <c r="E8" s="40"/>
      <c r="F8" s="40"/>
      <c r="G8" s="40"/>
      <c r="H8" s="40"/>
      <c r="I8" s="40"/>
      <c r="J8" s="40"/>
      <c r="K8" s="40"/>
      <c r="L8" s="102">
        <v>1.0</v>
      </c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</row>
    <row r="9" outlineLevel="1">
      <c r="A9" s="40"/>
      <c r="C9" s="101" t="s">
        <v>159</v>
      </c>
      <c r="D9" s="40"/>
      <c r="E9" s="40"/>
      <c r="F9" s="40"/>
      <c r="G9" s="40"/>
      <c r="H9" s="102">
        <v>1.0</v>
      </c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</row>
    <row r="10" outlineLevel="1">
      <c r="A10" s="40"/>
      <c r="C10" s="101" t="s">
        <v>181</v>
      </c>
      <c r="D10" s="40"/>
      <c r="E10" s="40"/>
      <c r="F10" s="40"/>
      <c r="G10" s="40"/>
      <c r="H10" s="102">
        <v>1.0</v>
      </c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</row>
    <row r="11" outlineLevel="1">
      <c r="A11" s="40"/>
      <c r="C11" s="101" t="s">
        <v>167</v>
      </c>
      <c r="D11" s="40"/>
      <c r="E11" s="40"/>
      <c r="F11" s="40"/>
      <c r="G11" s="40"/>
      <c r="H11" s="40"/>
      <c r="I11" s="40"/>
      <c r="J11" s="40"/>
      <c r="K11" s="40"/>
      <c r="L11" s="102">
        <v>1.0</v>
      </c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</row>
    <row r="12" outlineLevel="1">
      <c r="A12" s="40"/>
      <c r="B12" s="100" t="s">
        <v>128</v>
      </c>
      <c r="C12" s="101" t="s">
        <v>59</v>
      </c>
      <c r="D12" s="40"/>
      <c r="E12" s="40"/>
      <c r="F12" s="40"/>
      <c r="G12" s="40"/>
      <c r="H12" s="40"/>
      <c r="I12" s="40"/>
      <c r="J12" s="40"/>
      <c r="K12" s="40"/>
      <c r="L12" s="40"/>
      <c r="M12" s="102">
        <v>1.0</v>
      </c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</row>
    <row r="13" outlineLevel="1">
      <c r="A13" s="40"/>
      <c r="C13" s="101" t="s">
        <v>127</v>
      </c>
      <c r="D13" s="40"/>
      <c r="E13" s="40"/>
      <c r="F13" s="40"/>
      <c r="G13" s="40"/>
      <c r="H13" s="40"/>
      <c r="I13" s="40"/>
      <c r="J13" s="40"/>
      <c r="K13" s="40"/>
      <c r="L13" s="40"/>
      <c r="M13" s="102">
        <v>1.0</v>
      </c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</row>
    <row r="14" outlineLevel="1">
      <c r="A14" s="40"/>
      <c r="C14" s="101" t="s">
        <v>129</v>
      </c>
      <c r="D14" s="40"/>
      <c r="E14" s="40"/>
      <c r="F14" s="40"/>
      <c r="G14" s="40"/>
      <c r="H14" s="40"/>
      <c r="I14" s="40"/>
      <c r="J14" s="40"/>
      <c r="K14" s="40"/>
      <c r="L14" s="40"/>
      <c r="M14" s="102">
        <v>3.0</v>
      </c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</row>
    <row r="15" outlineLevel="1">
      <c r="A15" s="40"/>
      <c r="C15" s="101" t="s">
        <v>130</v>
      </c>
      <c r="D15" s="40"/>
      <c r="E15" s="40"/>
      <c r="F15" s="40"/>
      <c r="G15" s="40"/>
      <c r="H15" s="40"/>
      <c r="I15" s="40"/>
      <c r="J15" s="40"/>
      <c r="K15" s="40"/>
      <c r="L15" s="40"/>
      <c r="M15" s="102">
        <v>1.0</v>
      </c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</row>
    <row r="16" outlineLevel="1">
      <c r="A16" s="40"/>
      <c r="C16" s="101" t="s">
        <v>131</v>
      </c>
      <c r="D16" s="40"/>
      <c r="E16" s="40"/>
      <c r="F16" s="40"/>
      <c r="G16" s="40"/>
      <c r="H16" s="40"/>
      <c r="I16" s="40"/>
      <c r="J16" s="40"/>
      <c r="K16" s="40"/>
      <c r="L16" s="40"/>
      <c r="M16" s="102">
        <v>1.0</v>
      </c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</row>
    <row r="17" outlineLevel="1">
      <c r="A17" s="40"/>
      <c r="C17" s="101" t="s">
        <v>132</v>
      </c>
      <c r="D17" s="40"/>
      <c r="E17" s="40"/>
      <c r="F17" s="40"/>
      <c r="G17" s="40"/>
      <c r="H17" s="40"/>
      <c r="I17" s="40"/>
      <c r="J17" s="40"/>
      <c r="K17" s="40"/>
      <c r="L17" s="40"/>
      <c r="M17" s="102">
        <v>1.0</v>
      </c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</row>
    <row r="18" outlineLevel="1">
      <c r="A18" s="40"/>
      <c r="B18" s="100" t="s">
        <v>146</v>
      </c>
      <c r="C18" s="101" t="s">
        <v>145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102">
        <v>1.0</v>
      </c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</row>
    <row r="19" outlineLevel="1">
      <c r="A19" s="40"/>
      <c r="C19" s="101" t="s">
        <v>147</v>
      </c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102">
        <v>1.0</v>
      </c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</row>
    <row r="20" outlineLevel="1">
      <c r="A20" s="40"/>
      <c r="B20" s="100" t="s">
        <v>182</v>
      </c>
      <c r="C20" s="101" t="s">
        <v>142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102">
        <v>1.0</v>
      </c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</row>
    <row r="21" outlineLevel="1">
      <c r="A21" s="40"/>
      <c r="C21" s="101" t="s">
        <v>144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102">
        <v>1.0</v>
      </c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</row>
    <row r="22" outlineLevel="1">
      <c r="A22" s="40"/>
      <c r="B22" s="103" t="s">
        <v>183</v>
      </c>
      <c r="C22" s="101" t="s">
        <v>184</v>
      </c>
      <c r="D22" s="40"/>
      <c r="E22" s="40"/>
      <c r="F22" s="40"/>
      <c r="G22" s="40"/>
      <c r="H22" s="102">
        <v>1.0</v>
      </c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</row>
    <row r="23" outlineLevel="1">
      <c r="A23" s="40"/>
      <c r="C23" s="101" t="s">
        <v>96</v>
      </c>
      <c r="D23" s="40"/>
      <c r="E23" s="40"/>
      <c r="F23" s="40"/>
      <c r="G23" s="40"/>
      <c r="H23" s="40"/>
      <c r="I23" s="40"/>
      <c r="J23" s="40"/>
      <c r="K23" s="40"/>
      <c r="L23" s="102">
        <v>1.0</v>
      </c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</row>
    <row r="24" outlineLevel="1">
      <c r="A24" s="40"/>
      <c r="B24" s="103" t="s">
        <v>97</v>
      </c>
      <c r="C24" s="101" t="s">
        <v>99</v>
      </c>
      <c r="D24" s="40"/>
      <c r="E24" s="40"/>
      <c r="F24" s="40"/>
      <c r="G24" s="40"/>
      <c r="H24" s="40"/>
      <c r="I24" s="40"/>
      <c r="J24" s="40"/>
      <c r="K24" s="40"/>
      <c r="L24" s="102">
        <v>1.0</v>
      </c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</row>
    <row r="25" outlineLevel="1">
      <c r="A25" s="40"/>
      <c r="C25" s="101" t="s">
        <v>169</v>
      </c>
      <c r="D25" s="40"/>
      <c r="E25" s="40"/>
      <c r="F25" s="40"/>
      <c r="G25" s="40"/>
      <c r="H25" s="40"/>
      <c r="I25" s="40"/>
      <c r="J25" s="40"/>
      <c r="K25" s="40"/>
      <c r="L25" s="102">
        <v>1.0</v>
      </c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</row>
    <row r="26" outlineLevel="1">
      <c r="A26" s="40"/>
      <c r="C26" s="101" t="s">
        <v>170</v>
      </c>
      <c r="D26" s="40"/>
      <c r="E26" s="40"/>
      <c r="F26" s="40"/>
      <c r="G26" s="40"/>
      <c r="H26" s="40"/>
      <c r="I26" s="40"/>
      <c r="J26" s="40"/>
      <c r="K26" s="40"/>
      <c r="L26" s="102">
        <v>1.0</v>
      </c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</row>
    <row r="27">
      <c r="A27" s="98" t="s">
        <v>68</v>
      </c>
      <c r="B27" s="40"/>
      <c r="C27" s="40"/>
      <c r="D27" s="40"/>
      <c r="E27" s="40"/>
      <c r="F27" s="40"/>
      <c r="G27" s="99">
        <f t="shared" ref="G27:O27" si="2">SUM(G28:G46)</f>
        <v>0</v>
      </c>
      <c r="H27" s="99">
        <f t="shared" si="2"/>
        <v>1</v>
      </c>
      <c r="I27" s="99">
        <f t="shared" si="2"/>
        <v>0</v>
      </c>
      <c r="J27" s="99">
        <f t="shared" si="2"/>
        <v>12</v>
      </c>
      <c r="K27" s="99">
        <f t="shared" si="2"/>
        <v>3</v>
      </c>
      <c r="L27" s="99">
        <f t="shared" si="2"/>
        <v>8</v>
      </c>
      <c r="M27" s="99">
        <f t="shared" si="2"/>
        <v>11</v>
      </c>
      <c r="N27" s="99">
        <f t="shared" si="2"/>
        <v>0</v>
      </c>
      <c r="O27" s="99">
        <f t="shared" si="2"/>
        <v>0</v>
      </c>
      <c r="P27" s="99">
        <f>SUM(B27:O27)</f>
        <v>35</v>
      </c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</row>
    <row r="28" outlineLevel="1">
      <c r="A28" s="40"/>
      <c r="B28" s="100" t="s">
        <v>185</v>
      </c>
      <c r="C28" s="101" t="s">
        <v>125</v>
      </c>
      <c r="D28" s="40"/>
      <c r="E28" s="40"/>
      <c r="F28" s="40"/>
      <c r="G28" s="40"/>
      <c r="H28" s="40"/>
      <c r="I28" s="40"/>
      <c r="J28" s="40"/>
      <c r="K28" s="40"/>
      <c r="L28" s="102">
        <v>3.0</v>
      </c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</row>
    <row r="29" outlineLevel="1">
      <c r="A29" s="40"/>
      <c r="C29" s="101" t="s">
        <v>114</v>
      </c>
      <c r="D29" s="40"/>
      <c r="E29" s="40"/>
      <c r="F29" s="40"/>
      <c r="G29" s="40"/>
      <c r="H29" s="40"/>
      <c r="I29" s="40"/>
      <c r="J29" s="102">
        <v>3.0</v>
      </c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</row>
    <row r="30" outlineLevel="1">
      <c r="A30" s="40"/>
      <c r="C30" s="101" t="s">
        <v>126</v>
      </c>
      <c r="D30" s="40"/>
      <c r="E30" s="40"/>
      <c r="F30" s="40"/>
      <c r="G30" s="40"/>
      <c r="H30" s="40"/>
      <c r="I30" s="40"/>
      <c r="J30" s="102">
        <v>3.0</v>
      </c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</row>
    <row r="31" outlineLevel="1">
      <c r="A31" s="40"/>
      <c r="B31" s="100" t="s">
        <v>186</v>
      </c>
      <c r="C31" s="101" t="s">
        <v>162</v>
      </c>
      <c r="D31" s="40"/>
      <c r="E31" s="40"/>
      <c r="F31" s="40"/>
      <c r="G31" s="40"/>
      <c r="H31" s="102">
        <v>1.0</v>
      </c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</row>
    <row r="32" outlineLevel="1">
      <c r="A32" s="40"/>
      <c r="B32" s="100" t="s">
        <v>187</v>
      </c>
      <c r="C32" s="101" t="s">
        <v>76</v>
      </c>
      <c r="D32" s="40"/>
      <c r="E32" s="40"/>
      <c r="F32" s="40"/>
      <c r="G32" s="40"/>
      <c r="H32" s="40"/>
      <c r="I32" s="40"/>
      <c r="J32" s="40"/>
      <c r="K32" s="40"/>
      <c r="L32" s="102">
        <v>1.0</v>
      </c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</row>
    <row r="33" outlineLevel="1">
      <c r="A33" s="40"/>
      <c r="C33" s="101" t="s">
        <v>79</v>
      </c>
      <c r="D33" s="40"/>
      <c r="E33" s="40"/>
      <c r="F33" s="40"/>
      <c r="G33" s="40"/>
      <c r="H33" s="40"/>
      <c r="I33" s="40"/>
      <c r="J33" s="40"/>
      <c r="K33" s="40"/>
      <c r="L33" s="102">
        <v>3.0</v>
      </c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</row>
    <row r="34" outlineLevel="1">
      <c r="A34" s="40"/>
      <c r="C34" s="101" t="s">
        <v>81</v>
      </c>
      <c r="D34" s="40"/>
      <c r="E34" s="40"/>
      <c r="F34" s="40"/>
      <c r="G34" s="40"/>
      <c r="H34" s="40"/>
      <c r="I34" s="40"/>
      <c r="J34" s="102">
        <v>3.0</v>
      </c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</row>
    <row r="35" outlineLevel="1">
      <c r="A35" s="40"/>
      <c r="B35" s="100" t="s">
        <v>188</v>
      </c>
      <c r="C35" s="101" t="s">
        <v>72</v>
      </c>
      <c r="D35" s="40"/>
      <c r="E35" s="40"/>
      <c r="F35" s="40"/>
      <c r="G35" s="40"/>
      <c r="H35" s="40"/>
      <c r="I35" s="40"/>
      <c r="J35" s="102">
        <v>3.0</v>
      </c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</row>
    <row r="36" outlineLevel="1">
      <c r="A36" s="40"/>
      <c r="C36" s="101" t="s">
        <v>84</v>
      </c>
      <c r="D36" s="40"/>
      <c r="E36" s="40"/>
      <c r="F36" s="40"/>
      <c r="G36" s="40"/>
      <c r="H36" s="40"/>
      <c r="I36" s="40"/>
      <c r="J36" s="40"/>
      <c r="K36" s="40"/>
      <c r="L36" s="102">
        <v>1.0</v>
      </c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</row>
    <row r="37" outlineLevel="1">
      <c r="A37" s="40"/>
      <c r="B37" s="100" t="s">
        <v>189</v>
      </c>
      <c r="C37" s="101" t="s">
        <v>108</v>
      </c>
      <c r="D37" s="40"/>
      <c r="E37" s="40"/>
      <c r="F37" s="40"/>
      <c r="G37" s="40"/>
      <c r="H37" s="40"/>
      <c r="I37" s="40"/>
      <c r="J37" s="40"/>
      <c r="K37" s="40"/>
      <c r="L37" s="40"/>
      <c r="M37" s="102">
        <v>3.0</v>
      </c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</row>
    <row r="38" outlineLevel="1">
      <c r="A38" s="40"/>
      <c r="C38" s="101" t="s">
        <v>113</v>
      </c>
      <c r="D38" s="40"/>
      <c r="E38" s="40"/>
      <c r="F38" s="40"/>
      <c r="G38" s="40"/>
      <c r="H38" s="40"/>
      <c r="I38" s="40"/>
      <c r="J38" s="40"/>
      <c r="K38" s="40"/>
      <c r="L38" s="40"/>
      <c r="M38" s="102">
        <v>1.0</v>
      </c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</row>
    <row r="39" outlineLevel="1">
      <c r="A39" s="40"/>
      <c r="C39" s="101" t="s">
        <v>114</v>
      </c>
      <c r="D39" s="40"/>
      <c r="E39" s="40"/>
      <c r="F39" s="40"/>
      <c r="G39" s="40"/>
      <c r="H39" s="40"/>
      <c r="I39" s="40"/>
      <c r="J39" s="40"/>
      <c r="K39" s="40"/>
      <c r="L39" s="40"/>
      <c r="M39" s="102">
        <v>1.0</v>
      </c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</row>
    <row r="40" outlineLevel="1">
      <c r="A40" s="40"/>
      <c r="C40" s="101" t="s">
        <v>109</v>
      </c>
      <c r="D40" s="40"/>
      <c r="E40" s="40"/>
      <c r="F40" s="40"/>
      <c r="G40" s="40"/>
      <c r="H40" s="40"/>
      <c r="I40" s="40"/>
      <c r="J40" s="40"/>
      <c r="K40" s="40"/>
      <c r="L40" s="40"/>
      <c r="M40" s="102">
        <v>3.0</v>
      </c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</row>
    <row r="41" outlineLevel="1">
      <c r="A41" s="40"/>
      <c r="C41" s="101" t="s">
        <v>110</v>
      </c>
      <c r="D41" s="40"/>
      <c r="E41" s="40"/>
      <c r="F41" s="40"/>
      <c r="G41" s="40"/>
      <c r="H41" s="40"/>
      <c r="I41" s="40"/>
      <c r="J41" s="40"/>
      <c r="K41" s="40"/>
      <c r="L41" s="40"/>
      <c r="M41" s="102">
        <v>1.0</v>
      </c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</row>
    <row r="42" outlineLevel="1">
      <c r="A42" s="40"/>
      <c r="C42" s="101" t="s">
        <v>112</v>
      </c>
      <c r="D42" s="40"/>
      <c r="E42" s="40"/>
      <c r="F42" s="40"/>
      <c r="G42" s="40"/>
      <c r="H42" s="40"/>
      <c r="I42" s="40"/>
      <c r="J42" s="40"/>
      <c r="K42" s="40"/>
      <c r="L42" s="40"/>
      <c r="M42" s="102">
        <v>1.0</v>
      </c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</row>
    <row r="43" outlineLevel="1">
      <c r="A43" s="40"/>
      <c r="C43" s="101" t="s">
        <v>115</v>
      </c>
      <c r="D43" s="40"/>
      <c r="E43" s="40"/>
      <c r="F43" s="40"/>
      <c r="G43" s="40"/>
      <c r="H43" s="40"/>
      <c r="I43" s="40"/>
      <c r="J43" s="40"/>
      <c r="K43" s="40"/>
      <c r="L43" s="40"/>
      <c r="M43" s="102">
        <v>1.0</v>
      </c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</row>
    <row r="44" outlineLevel="1">
      <c r="A44" s="40"/>
      <c r="B44" s="100" t="s">
        <v>190</v>
      </c>
      <c r="C44" s="101" t="s">
        <v>72</v>
      </c>
      <c r="D44" s="40"/>
      <c r="E44" s="40"/>
      <c r="F44" s="40"/>
      <c r="G44" s="40"/>
      <c r="H44" s="40"/>
      <c r="I44" s="40"/>
      <c r="J44" s="40"/>
      <c r="K44" s="102">
        <v>1.0</v>
      </c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</row>
    <row r="45" outlineLevel="1">
      <c r="A45" s="40"/>
      <c r="C45" s="101" t="s">
        <v>114</v>
      </c>
      <c r="D45" s="40"/>
      <c r="E45" s="40"/>
      <c r="F45" s="40"/>
      <c r="G45" s="40"/>
      <c r="H45" s="40"/>
      <c r="I45" s="40"/>
      <c r="J45" s="40"/>
      <c r="K45" s="102">
        <v>1.0</v>
      </c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</row>
    <row r="46" outlineLevel="1">
      <c r="A46" s="40"/>
      <c r="C46" s="101" t="s">
        <v>119</v>
      </c>
      <c r="D46" s="40"/>
      <c r="E46" s="40"/>
      <c r="F46" s="40"/>
      <c r="G46" s="40"/>
      <c r="H46" s="40"/>
      <c r="I46" s="40"/>
      <c r="J46" s="40"/>
      <c r="K46" s="102">
        <v>1.0</v>
      </c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</row>
    <row r="47" collapsed="1">
      <c r="A47" s="104" t="s">
        <v>191</v>
      </c>
      <c r="B47" s="40"/>
      <c r="C47" s="40"/>
      <c r="D47" s="40"/>
      <c r="E47" s="40"/>
      <c r="F47" s="40"/>
      <c r="G47" s="99">
        <f t="shared" ref="G47:O47" si="3">SUM(G48:G50)</f>
        <v>0</v>
      </c>
      <c r="H47" s="99">
        <f t="shared" si="3"/>
        <v>0</v>
      </c>
      <c r="I47" s="99">
        <f t="shared" si="3"/>
        <v>0</v>
      </c>
      <c r="J47" s="99">
        <f t="shared" si="3"/>
        <v>0</v>
      </c>
      <c r="K47" s="99">
        <f t="shared" si="3"/>
        <v>0</v>
      </c>
      <c r="L47" s="99">
        <f t="shared" si="3"/>
        <v>0</v>
      </c>
      <c r="M47" s="99">
        <f t="shared" si="3"/>
        <v>0</v>
      </c>
      <c r="N47" s="99">
        <f t="shared" si="3"/>
        <v>3</v>
      </c>
      <c r="O47" s="99">
        <f t="shared" si="3"/>
        <v>0</v>
      </c>
      <c r="P47" s="99">
        <f>SUM(B47:O47)</f>
        <v>3</v>
      </c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</row>
    <row r="48" hidden="1" outlineLevel="1">
      <c r="A48" s="40"/>
      <c r="B48" s="100" t="s">
        <v>100</v>
      </c>
      <c r="C48" s="101" t="s">
        <v>104</v>
      </c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102">
        <v>1.0</v>
      </c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</row>
    <row r="49" hidden="1" outlineLevel="1">
      <c r="A49" s="40"/>
      <c r="C49" s="101" t="s">
        <v>106</v>
      </c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102">
        <v>1.0</v>
      </c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</row>
    <row r="50" hidden="1" outlineLevel="1">
      <c r="A50" s="40"/>
      <c r="C50" s="101" t="s">
        <v>107</v>
      </c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102">
        <v>1.0</v>
      </c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</row>
    <row r="51" collapsed="1">
      <c r="A51" s="104" t="s">
        <v>41</v>
      </c>
      <c r="B51" s="40"/>
      <c r="C51" s="40"/>
      <c r="D51" s="40"/>
      <c r="E51" s="40"/>
      <c r="F51" s="40"/>
      <c r="G51" s="99">
        <f t="shared" ref="G51:O51" si="4">SUM(G52:G61)</f>
        <v>2</v>
      </c>
      <c r="H51" s="99">
        <f t="shared" si="4"/>
        <v>2</v>
      </c>
      <c r="I51" s="99">
        <f t="shared" si="4"/>
        <v>2</v>
      </c>
      <c r="J51" s="99">
        <f t="shared" si="4"/>
        <v>1</v>
      </c>
      <c r="K51" s="99">
        <f t="shared" si="4"/>
        <v>0</v>
      </c>
      <c r="L51" s="99">
        <f t="shared" si="4"/>
        <v>0</v>
      </c>
      <c r="M51" s="99">
        <f t="shared" si="4"/>
        <v>3</v>
      </c>
      <c r="N51" s="99">
        <f t="shared" si="4"/>
        <v>0</v>
      </c>
      <c r="O51" s="99">
        <f t="shared" si="4"/>
        <v>0</v>
      </c>
      <c r="P51" s="99">
        <f>SUM(G51:O51)</f>
        <v>10</v>
      </c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</row>
    <row r="52" hidden="1" outlineLevel="1">
      <c r="A52" s="40"/>
      <c r="B52" s="100" t="s">
        <v>46</v>
      </c>
      <c r="C52" s="101" t="s">
        <v>45</v>
      </c>
      <c r="D52" s="40"/>
      <c r="E52" s="40"/>
      <c r="F52" s="40"/>
      <c r="G52" s="102">
        <v>1.0</v>
      </c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</row>
    <row r="53" hidden="1" outlineLevel="1">
      <c r="A53" s="40"/>
      <c r="C53" s="101" t="s">
        <v>50</v>
      </c>
      <c r="D53" s="40"/>
      <c r="E53" s="40"/>
      <c r="F53" s="40"/>
      <c r="G53" s="102">
        <v>1.0</v>
      </c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</row>
    <row r="54" hidden="1" outlineLevel="1">
      <c r="A54" s="40"/>
      <c r="C54" s="101" t="s">
        <v>67</v>
      </c>
      <c r="D54" s="40"/>
      <c r="E54" s="40"/>
      <c r="F54" s="40"/>
      <c r="G54" s="40"/>
      <c r="H54" s="102">
        <v>1.0</v>
      </c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</row>
    <row r="55" hidden="1" outlineLevel="1">
      <c r="A55" s="40"/>
      <c r="B55" s="100" t="s">
        <v>90</v>
      </c>
      <c r="C55" s="101" t="s">
        <v>192</v>
      </c>
      <c r="D55" s="40"/>
      <c r="E55" s="40"/>
      <c r="F55" s="40"/>
      <c r="G55" s="40"/>
      <c r="H55" s="40"/>
      <c r="I55" s="102">
        <v>1.0</v>
      </c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</row>
    <row r="56" hidden="1" outlineLevel="1">
      <c r="A56" s="40"/>
      <c r="C56" s="101" t="s">
        <v>193</v>
      </c>
      <c r="D56" s="40"/>
      <c r="E56" s="40"/>
      <c r="F56" s="40"/>
      <c r="G56" s="40"/>
      <c r="H56" s="40"/>
      <c r="I56" s="102">
        <v>1.0</v>
      </c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</row>
    <row r="57" hidden="1" outlineLevel="1">
      <c r="A57" s="40"/>
      <c r="B57" s="100" t="s">
        <v>194</v>
      </c>
      <c r="C57" s="101" t="s">
        <v>137</v>
      </c>
      <c r="D57" s="40"/>
      <c r="E57" s="40"/>
      <c r="F57" s="40"/>
      <c r="G57" s="40"/>
      <c r="H57" s="40"/>
      <c r="I57" s="40"/>
      <c r="J57" s="40"/>
      <c r="K57" s="40"/>
      <c r="L57" s="40"/>
      <c r="M57" s="102">
        <v>1.0</v>
      </c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</row>
    <row r="58" hidden="1" outlineLevel="1">
      <c r="A58" s="40"/>
      <c r="C58" s="101" t="s">
        <v>140</v>
      </c>
      <c r="D58" s="40"/>
      <c r="E58" s="40"/>
      <c r="F58" s="40"/>
      <c r="G58" s="40"/>
      <c r="H58" s="40"/>
      <c r="I58" s="40"/>
      <c r="J58" s="40"/>
      <c r="K58" s="40"/>
      <c r="L58" s="40"/>
      <c r="M58" s="102">
        <v>1.0</v>
      </c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</row>
    <row r="59" hidden="1" outlineLevel="1">
      <c r="A59" s="40"/>
      <c r="C59" s="101" t="s">
        <v>141</v>
      </c>
      <c r="D59" s="40"/>
      <c r="E59" s="40"/>
      <c r="F59" s="40"/>
      <c r="G59" s="40"/>
      <c r="H59" s="40"/>
      <c r="I59" s="40"/>
      <c r="J59" s="40"/>
      <c r="K59" s="40"/>
      <c r="L59" s="40"/>
      <c r="M59" s="102">
        <v>1.0</v>
      </c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</row>
    <row r="60" hidden="1" outlineLevel="1">
      <c r="A60" s="40"/>
      <c r="B60" s="100" t="s">
        <v>87</v>
      </c>
      <c r="C60" s="101" t="s">
        <v>86</v>
      </c>
      <c r="D60" s="40"/>
      <c r="E60" s="40"/>
      <c r="F60" s="40"/>
      <c r="G60" s="40"/>
      <c r="H60" s="40"/>
      <c r="I60" s="40"/>
      <c r="J60" s="102">
        <v>1.0</v>
      </c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</row>
    <row r="61" hidden="1" outlineLevel="1">
      <c r="A61" s="40"/>
      <c r="B61" s="100" t="s">
        <v>195</v>
      </c>
      <c r="C61" s="101" t="s">
        <v>92</v>
      </c>
      <c r="D61" s="40"/>
      <c r="E61" s="40"/>
      <c r="F61" s="40"/>
      <c r="G61" s="40"/>
      <c r="H61" s="102">
        <v>1.0</v>
      </c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</row>
    <row r="62">
      <c r="A62" s="105" t="s">
        <v>148</v>
      </c>
      <c r="B62" s="40"/>
      <c r="C62" s="40"/>
      <c r="D62" s="40"/>
      <c r="E62" s="40"/>
      <c r="F62" s="40"/>
      <c r="G62" s="99">
        <f t="shared" ref="G62:O62" si="5">SUM(G63:G65)</f>
        <v>0</v>
      </c>
      <c r="H62" s="99">
        <f t="shared" si="5"/>
        <v>0</v>
      </c>
      <c r="I62" s="99">
        <f t="shared" si="5"/>
        <v>0</v>
      </c>
      <c r="J62" s="99">
        <f t="shared" si="5"/>
        <v>0</v>
      </c>
      <c r="K62" s="99">
        <f t="shared" si="5"/>
        <v>0</v>
      </c>
      <c r="L62" s="99">
        <f t="shared" si="5"/>
        <v>0</v>
      </c>
      <c r="M62" s="99">
        <f t="shared" si="5"/>
        <v>3</v>
      </c>
      <c r="N62" s="99">
        <f t="shared" si="5"/>
        <v>0</v>
      </c>
      <c r="O62" s="99">
        <f t="shared" si="5"/>
        <v>0</v>
      </c>
      <c r="P62" s="99">
        <f>SUM(G62:O62)</f>
        <v>3</v>
      </c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</row>
    <row r="63" outlineLevel="1">
      <c r="A63" s="40"/>
      <c r="B63" s="40"/>
      <c r="C63" s="106" t="s">
        <v>196</v>
      </c>
      <c r="D63" s="50" t="s">
        <v>197</v>
      </c>
      <c r="E63" s="40"/>
      <c r="F63" s="40"/>
      <c r="G63" s="40"/>
      <c r="H63" s="40"/>
      <c r="I63" s="40"/>
      <c r="J63" s="40"/>
      <c r="K63" s="40"/>
      <c r="L63" s="40"/>
      <c r="M63" s="102">
        <v>1.0</v>
      </c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</row>
    <row r="64" outlineLevel="1">
      <c r="A64" s="40"/>
      <c r="B64" s="40"/>
      <c r="C64" s="106" t="s">
        <v>152</v>
      </c>
      <c r="D64" s="50" t="s">
        <v>197</v>
      </c>
      <c r="E64" s="40"/>
      <c r="F64" s="40"/>
      <c r="G64" s="40"/>
      <c r="H64" s="40"/>
      <c r="I64" s="40"/>
      <c r="J64" s="40"/>
      <c r="K64" s="40"/>
      <c r="L64" s="40"/>
      <c r="M64" s="102">
        <v>1.0</v>
      </c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</row>
    <row r="65" outlineLevel="1">
      <c r="A65" s="40"/>
      <c r="B65" s="40"/>
      <c r="C65" s="106" t="s">
        <v>154</v>
      </c>
      <c r="D65" s="50" t="s">
        <v>197</v>
      </c>
      <c r="E65" s="40"/>
      <c r="F65" s="40"/>
      <c r="G65" s="40"/>
      <c r="H65" s="40"/>
      <c r="I65" s="40"/>
      <c r="J65" s="40"/>
      <c r="K65" s="40"/>
      <c r="L65" s="40"/>
      <c r="M65" s="102">
        <v>1.0</v>
      </c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</row>
    <row r="66" outlineLevel="1">
      <c r="A66" s="40"/>
      <c r="B66" s="40"/>
      <c r="C66" s="107" t="s">
        <v>198</v>
      </c>
      <c r="D66" s="50" t="s">
        <v>197</v>
      </c>
      <c r="E66" s="40"/>
      <c r="F66" s="40"/>
      <c r="G66" s="40"/>
      <c r="H66" s="40"/>
      <c r="I66" s="40"/>
      <c r="J66" s="40"/>
      <c r="K66" s="40"/>
      <c r="L66" s="40"/>
      <c r="M66" s="102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</row>
    <row r="67" outlineLevel="1">
      <c r="A67" s="40"/>
      <c r="B67" s="40"/>
      <c r="C67" s="107"/>
      <c r="D67" s="40"/>
      <c r="E67" s="40"/>
      <c r="F67" s="40"/>
      <c r="G67" s="40"/>
      <c r="H67" s="40"/>
      <c r="I67" s="40"/>
      <c r="J67" s="40"/>
      <c r="K67" s="40"/>
      <c r="L67" s="40"/>
      <c r="M67" s="102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</row>
    <row r="68">
      <c r="A68" s="108" t="s">
        <v>179</v>
      </c>
      <c r="B68" s="40"/>
      <c r="C68" s="40"/>
      <c r="D68" s="40"/>
      <c r="E68" s="40"/>
      <c r="F68" s="40"/>
      <c r="G68" s="109">
        <f t="shared" ref="G68:P68" si="6">G4+G27+G47+G51+G62</f>
        <v>2</v>
      </c>
      <c r="H68" s="109">
        <f t="shared" si="6"/>
        <v>8</v>
      </c>
      <c r="I68" s="109">
        <f t="shared" si="6"/>
        <v>2</v>
      </c>
      <c r="J68" s="109">
        <f t="shared" si="6"/>
        <v>13</v>
      </c>
      <c r="K68" s="109">
        <f t="shared" si="6"/>
        <v>3</v>
      </c>
      <c r="L68" s="109">
        <f t="shared" si="6"/>
        <v>14</v>
      </c>
      <c r="M68" s="109">
        <f t="shared" si="6"/>
        <v>25</v>
      </c>
      <c r="N68" s="109">
        <f t="shared" si="6"/>
        <v>7</v>
      </c>
      <c r="O68" s="109">
        <f t="shared" si="6"/>
        <v>0</v>
      </c>
      <c r="P68" s="99">
        <f t="shared" si="6"/>
        <v>74</v>
      </c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</row>
    <row r="69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</row>
    <row r="70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</row>
    <row r="7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</row>
    <row r="7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</row>
    <row r="73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</row>
    <row r="74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</row>
    <row r="7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</row>
    <row r="76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</row>
    <row r="77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</row>
    <row r="78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</row>
    <row r="79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</row>
    <row r="80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</row>
    <row r="8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</row>
    <row r="8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</row>
    <row r="83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</row>
    <row r="84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</row>
    <row r="8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</row>
    <row r="86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</row>
    <row r="87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</row>
    <row r="88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</row>
    <row r="89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</row>
    <row r="90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</row>
    <row r="9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</row>
    <row r="9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</row>
    <row r="93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</row>
    <row r="94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</row>
    <row r="9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</row>
    <row r="96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</row>
    <row r="97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</row>
    <row r="98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</row>
    <row r="99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</row>
    <row r="100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</row>
    <row r="10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</row>
    <row r="10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</row>
    <row r="10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</row>
    <row r="104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</row>
    <row r="10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</row>
    <row r="10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</row>
    <row r="107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</row>
    <row r="108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</row>
    <row r="109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</row>
    <row r="110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</row>
    <row r="11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</row>
    <row r="11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</row>
    <row r="11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</row>
    <row r="114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</row>
    <row r="11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</row>
    <row r="11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</row>
    <row r="117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</row>
    <row r="118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</row>
    <row r="119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</row>
    <row r="120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</row>
    <row r="12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</row>
    <row r="1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</row>
    <row r="1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</row>
    <row r="124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</row>
    <row r="1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</row>
    <row r="1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</row>
    <row r="127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</row>
    <row r="128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</row>
    <row r="129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</row>
    <row r="130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</row>
    <row r="13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</row>
    <row r="13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</row>
    <row r="13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</row>
    <row r="134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</row>
    <row r="13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</row>
    <row r="13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</row>
    <row r="137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</row>
    <row r="138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</row>
    <row r="139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</row>
    <row r="140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</row>
    <row r="14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</row>
    <row r="14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</row>
    <row r="14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</row>
    <row r="144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</row>
    <row r="14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</row>
    <row r="1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</row>
    <row r="147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</row>
    <row r="148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</row>
    <row r="149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</row>
    <row r="150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</row>
    <row r="15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</row>
    <row r="15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</row>
    <row r="15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</row>
    <row r="154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</row>
    <row r="15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</row>
    <row r="157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</row>
    <row r="158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</row>
    <row r="159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</row>
    <row r="160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</row>
    <row r="16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</row>
    <row r="16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</row>
    <row r="16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</row>
    <row r="164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</row>
    <row r="16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</row>
    <row r="167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</row>
    <row r="16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</row>
    <row r="169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</row>
    <row r="17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</row>
    <row r="17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</row>
    <row r="17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</row>
    <row r="174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</row>
    <row r="17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</row>
    <row r="17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</row>
    <row r="177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</row>
    <row r="178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</row>
    <row r="179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</row>
    <row r="180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</row>
    <row r="18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</row>
    <row r="18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</row>
    <row r="18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</row>
    <row r="184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</row>
    <row r="18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</row>
    <row r="18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</row>
    <row r="187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</row>
    <row r="188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</row>
    <row r="189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</row>
    <row r="190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</row>
    <row r="19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</row>
    <row r="19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</row>
    <row r="19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</row>
    <row r="194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</row>
    <row r="19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</row>
    <row r="19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</row>
    <row r="19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</row>
    <row r="199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</row>
    <row r="200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</row>
    <row r="20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</row>
    <row r="20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</row>
    <row r="20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</row>
    <row r="204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</row>
    <row r="20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</row>
    <row r="20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</row>
    <row r="20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</row>
    <row r="208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</row>
    <row r="209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</row>
    <row r="210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</row>
    <row r="21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</row>
    <row r="21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</row>
    <row r="1000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</row>
    <row r="1001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</row>
    <row r="1002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</row>
    <row r="1003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  <c r="AB1003" s="40"/>
      <c r="AC1003" s="40"/>
    </row>
    <row r="1004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  <c r="AB1004" s="40"/>
      <c r="AC1004" s="40"/>
    </row>
    <row r="1005">
      <c r="A1005" s="40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  <c r="AA1005" s="40"/>
      <c r="AB1005" s="40"/>
      <c r="AC1005" s="40"/>
    </row>
    <row r="1006">
      <c r="A1006" s="40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  <c r="AA1006" s="40"/>
      <c r="AB1006" s="40"/>
      <c r="AC1006" s="40"/>
    </row>
    <row r="1007">
      <c r="A1007" s="40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  <c r="AA1007" s="40"/>
      <c r="AB1007" s="40"/>
      <c r="AC1007" s="40"/>
    </row>
    <row r="1008">
      <c r="A1008" s="40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  <c r="AA1008" s="40"/>
      <c r="AB1008" s="40"/>
      <c r="AC1008" s="40"/>
    </row>
    <row r="1009">
      <c r="A1009" s="40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  <c r="Y1009" s="40"/>
      <c r="Z1009" s="40"/>
      <c r="AA1009" s="40"/>
      <c r="AB1009" s="40"/>
      <c r="AC1009" s="40"/>
    </row>
    <row r="1010">
      <c r="A1010" s="40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  <c r="W1010" s="40"/>
      <c r="X1010" s="40"/>
      <c r="Y1010" s="40"/>
      <c r="Z1010" s="40"/>
      <c r="AA1010" s="40"/>
      <c r="AB1010" s="40"/>
      <c r="AC1010" s="40"/>
    </row>
    <row r="1011">
      <c r="A1011" s="40"/>
      <c r="B1011" s="4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  <c r="P1011" s="40"/>
      <c r="Q1011" s="40"/>
      <c r="R1011" s="40"/>
      <c r="S1011" s="40"/>
      <c r="T1011" s="40"/>
      <c r="U1011" s="40"/>
      <c r="V1011" s="40"/>
      <c r="W1011" s="40"/>
      <c r="X1011" s="40"/>
      <c r="Y1011" s="40"/>
      <c r="Z1011" s="40"/>
      <c r="AA1011" s="40"/>
      <c r="AB1011" s="40"/>
      <c r="AC1011" s="40"/>
    </row>
  </sheetData>
  <mergeCells count="15">
    <mergeCell ref="B32:B34"/>
    <mergeCell ref="B35:B36"/>
    <mergeCell ref="B37:B43"/>
    <mergeCell ref="B44:B46"/>
    <mergeCell ref="B48:B50"/>
    <mergeCell ref="B52:B54"/>
    <mergeCell ref="B55:B56"/>
    <mergeCell ref="B57:B59"/>
    <mergeCell ref="B5:B11"/>
    <mergeCell ref="B12:B17"/>
    <mergeCell ref="B18:B19"/>
    <mergeCell ref="B20:B21"/>
    <mergeCell ref="B22:B23"/>
    <mergeCell ref="B24:B26"/>
    <mergeCell ref="B28:B30"/>
  </mergeCells>
  <drawing r:id="rId1"/>
</worksheet>
</file>