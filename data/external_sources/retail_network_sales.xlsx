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tiu\Downloads\"/>
    </mc:Choice>
  </mc:AlternateContent>
  <xr:revisionPtr revIDLastSave="0" documentId="8_{84616235-42B5-4756-BC92-EE33E312DDFF}" xr6:coauthVersionLast="47" xr6:coauthVersionMax="47" xr10:uidLastSave="{00000000-0000-0000-0000-000000000000}"/>
  <bookViews>
    <workbookView xWindow="75" yWindow="5070" windowWidth="51525" windowHeight="14655" xr2:uid="{00000000-000D-0000-FFFF-FFFF00000000}"/>
  </bookViews>
  <sheets>
    <sheet name="ЗЯ" sheetId="1" r:id="rId1"/>
    <sheet name="Лету" sheetId="2" r:id="rId2"/>
    <sheet name="МагнитМаркет" sheetId="3" r:id="rId3"/>
  </sheets>
  <definedNames>
    <definedName name="_xlnm._FilterDatabase" localSheetId="1" hidden="1">Лету!$A$1:$G$57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1" l="1"/>
  <c r="F32" i="1"/>
  <c r="G32" i="1"/>
  <c r="H32" i="1"/>
  <c r="I32" i="1"/>
  <c r="D32" i="1"/>
  <c r="C35" i="3"/>
  <c r="D35" i="3"/>
  <c r="E35" i="3"/>
  <c r="F35" i="3"/>
  <c r="G35" i="3"/>
  <c r="B35" i="3"/>
  <c r="D57" i="2"/>
  <c r="E57" i="2"/>
  <c r="F57" i="2"/>
  <c r="G57" i="2"/>
  <c r="C57" i="2"/>
  <c r="B57" i="2"/>
</calcChain>
</file>

<file path=xl/sharedStrings.xml><?xml version="1.0" encoding="utf-8"?>
<sst xmlns="http://schemas.openxmlformats.org/spreadsheetml/2006/main" count="204" uniqueCount="141">
  <si>
    <t>Наименование</t>
  </si>
  <si>
    <t>Артикул</t>
  </si>
  <si>
    <t>Штрихкод</t>
  </si>
  <si>
    <t>Солевой спрей-сыворотка для объема волос маркировки Алтея</t>
  </si>
  <si>
    <t>solevoy_sprei_200ml</t>
  </si>
  <si>
    <t>4670020498413</t>
  </si>
  <si>
    <t>"Кровавый" пилинг для лица маркировки "Алтэя"</t>
  </si>
  <si>
    <t>krovavii_piling_30ml</t>
  </si>
  <si>
    <t>4670020498208</t>
  </si>
  <si>
    <t>Крем от растяжек, Алтея, 200 мл</t>
  </si>
  <si>
    <t>krem_ot_rastyazhek</t>
  </si>
  <si>
    <t>4670020497898</t>
  </si>
  <si>
    <t>Крем для лица с ретинолом 0.5, сыворотка от морщин и пигментных пятен, Алтея, Ретидерм, 50 мл</t>
  </si>
  <si>
    <t>retiderm_50ml</t>
  </si>
  <si>
    <t>4610172186219</t>
  </si>
  <si>
    <t xml:space="preserve"> Продукция косметическая для ухода за кожей, в том числе в наборах: Маска для проблемной кожи лица м</t>
  </si>
  <si>
    <t>maska_dlya_lica_100m</t>
  </si>
  <si>
    <t>4670020498741</t>
  </si>
  <si>
    <t>РЕТИНАЙТ сыворотка для лица 30 мл</t>
  </si>
  <si>
    <t>retinait_syvorotka_1</t>
  </si>
  <si>
    <t>4603320465403</t>
  </si>
  <si>
    <t>Крем с липомосомальным ретинолом (0,1% - 3%), торговая марка Алтея</t>
  </si>
  <si>
    <t>retinait_krem_1_50ml</t>
  </si>
  <si>
    <t>4660417421605</t>
  </si>
  <si>
    <t>Гель для проблемной кожи лица и тела, с маркировками Алтея</t>
  </si>
  <si>
    <t>gel_antiakne_20ml_v2</t>
  </si>
  <si>
    <t>4660417420110</t>
  </si>
  <si>
    <t>Крем-шелк для сухой кожи ног</t>
  </si>
  <si>
    <t>kremshelk_100ml</t>
  </si>
  <si>
    <t>4670020498437</t>
  </si>
  <si>
    <t>Спрей-сыворотка для волос маркировки Алтея</t>
  </si>
  <si>
    <t>termo_sprei_200ml</t>
  </si>
  <si>
    <t>4670020497980</t>
  </si>
  <si>
    <t>retinait_krem_025_50</t>
  </si>
  <si>
    <t>4660417421599</t>
  </si>
  <si>
    <t>Средство косметическое: Воск для волос торговой марки: «Алтея» 15гр</t>
  </si>
  <si>
    <t>vosk_stik_15ml</t>
  </si>
  <si>
    <t>4670207150196</t>
  </si>
  <si>
    <t>Крем для век пробуждающий маркировки «Алтэя»</t>
  </si>
  <si>
    <t>krem_dlya_vek_30ml</t>
  </si>
  <si>
    <t>4670020498918</t>
  </si>
  <si>
    <t>Средство косметическое для ухода за волосами: маска для волос восстанавливающая с авокадо и маслом о</t>
  </si>
  <si>
    <t>maska-batter_250ml</t>
  </si>
  <si>
    <t>4670020497546</t>
  </si>
  <si>
    <t>Ретинайт 0,5 экспресс-омоложение Anti-Age Липосомальный комплекс ретинола 0,5 + Ниацинамид 50 мл</t>
  </si>
  <si>
    <t>retinait_krem_05_50m</t>
  </si>
  <si>
    <t>4660417421759</t>
  </si>
  <si>
    <t>Крем специального назначения «Псоридонт» 50 мл</t>
  </si>
  <si>
    <t>psoral_50ml</t>
  </si>
  <si>
    <t>4660417421087</t>
  </si>
  <si>
    <t>Ламеллярный крем для рук с мочевиной, увлажняющий и питательный с маслом кокоса, Алтея, 75 мл</t>
  </si>
  <si>
    <t>krem_dlya_ruk_75ml</t>
  </si>
  <si>
    <t>4660417421452</t>
  </si>
  <si>
    <t>Продукция косметическая для ухода за кожей: Пилинг для кожи головы.</t>
  </si>
  <si>
    <t>piling_100ml</t>
  </si>
  <si>
    <t>4670020496761</t>
  </si>
  <si>
    <t>Шампунь для роста волос, от выпадения волос профессиональный, Алтея, 250 мл</t>
  </si>
  <si>
    <t>shampun_dlya_rosta_2</t>
  </si>
  <si>
    <t>4670020496747</t>
  </si>
  <si>
    <t>Средство косметическое для ухода за волосами: масло для бороды, маркировка: Алтея.</t>
  </si>
  <si>
    <t>maslo_dlya_borodi_50</t>
  </si>
  <si>
    <t>4610172186882</t>
  </si>
  <si>
    <t>Энзимная пудра маркировки «Алтэя» 80 гр.</t>
  </si>
  <si>
    <t>enzim_pudra_80gr_v2</t>
  </si>
  <si>
    <t>4645565747487</t>
  </si>
  <si>
    <t>Шампунь от перхоти лечебный с климбазолом Алтея, 250мл</t>
  </si>
  <si>
    <t>shampun_protiv_perho</t>
  </si>
  <si>
    <t>4670020496679</t>
  </si>
  <si>
    <t>Гель для интимной гигиены с молочной кислотой, Алтея, Интимвита, 300 мл</t>
  </si>
  <si>
    <t>intimvita_300ml</t>
  </si>
  <si>
    <t>4630084865477</t>
  </si>
  <si>
    <t>Сыворотка для лица с гиалуроновой кислотой маркировки "Алтэя"</t>
  </si>
  <si>
    <t>syvorotka_guk_30ml</t>
  </si>
  <si>
    <t>4670020498093</t>
  </si>
  <si>
    <t>Тоник для лица очищающий, увлажняющий тонер, лосьон от пигментации, от прыщей и акне, черных точек д</t>
  </si>
  <si>
    <t>tonik_dlya_lica_200m</t>
  </si>
  <si>
    <t>4670020498499</t>
  </si>
  <si>
    <t>Скраб для кожи головы 200 мл</t>
  </si>
  <si>
    <t>skrab_babl_gam_200ml</t>
  </si>
  <si>
    <t>4660417421476</t>
  </si>
  <si>
    <t>Гель для удаления кутикулы</t>
  </si>
  <si>
    <t>nabor_remuver_40ml</t>
  </si>
  <si>
    <t>4607050974747</t>
  </si>
  <si>
    <t>Спрей для роста волос торговой марки Алтея</t>
  </si>
  <si>
    <t>sprei_buster_100ml</t>
  </si>
  <si>
    <t>4603320465359</t>
  </si>
  <si>
    <t>Пенка для очищения ресниц, торговая марка Алтея.</t>
  </si>
  <si>
    <t>nabor_penka_dlya_res</t>
  </si>
  <si>
    <t>4698878338125</t>
  </si>
  <si>
    <t>Энзимная пудра маркировки Алтэя</t>
  </si>
  <si>
    <t>enzim_pudra_80gr</t>
  </si>
  <si>
    <t>4670020498017</t>
  </si>
  <si>
    <t>Апрель руб</t>
  </si>
  <si>
    <t>Апрель шт</t>
  </si>
  <si>
    <t>Май руб</t>
  </si>
  <si>
    <t>Май шт</t>
  </si>
  <si>
    <t>Июнь руб</t>
  </si>
  <si>
    <t>Июнь шт</t>
  </si>
  <si>
    <t>curly_method_300ml</t>
  </si>
  <si>
    <t>gel_antiakne_20ml</t>
  </si>
  <si>
    <t>gel_brows_5ml</t>
  </si>
  <si>
    <t>gel_dlya_britya_300ml</t>
  </si>
  <si>
    <t>gel_dlya_brovei_6ml</t>
  </si>
  <si>
    <t>gel_for_men_3_in_1_1000ml</t>
  </si>
  <si>
    <t>gel_parfum_tabacco_vanille_450ml</t>
  </si>
  <si>
    <t>krem_buster_250ml</t>
  </si>
  <si>
    <t>krem_spf50_50ml</t>
  </si>
  <si>
    <t>krem-filler_15ml</t>
  </si>
  <si>
    <t>maska_dlya_lica_100ml</t>
  </si>
  <si>
    <t>maska-batter_dlya_rosta_500ml</t>
  </si>
  <si>
    <t>maslo_dlya_borodi_50ml</t>
  </si>
  <si>
    <t>maslo_dlya_volos_parf_110ml_</t>
  </si>
  <si>
    <t>matte_wax_50ml</t>
  </si>
  <si>
    <t>nabor_remuver_kremovii</t>
  </si>
  <si>
    <t>penka_160ml</t>
  </si>
  <si>
    <t>penka_kudryavii_metod_150ml</t>
  </si>
  <si>
    <t>pink_pepper_50ml</t>
  </si>
  <si>
    <t>retinait_krem_01_50ml</t>
  </si>
  <si>
    <t>retinait_krem_025_50ml</t>
  </si>
  <si>
    <t>retinait_krem_05_50ml</t>
  </si>
  <si>
    <t>retinait_krem_1_5_50ml</t>
  </si>
  <si>
    <t>retinait_syvorotka_025_30ml</t>
  </si>
  <si>
    <t>retinait_syvorotka_05_30ml</t>
  </si>
  <si>
    <t>retinait_syvorotka_1_30ml</t>
  </si>
  <si>
    <t>retinol_boost_krem_dlya_vek_30ml</t>
  </si>
  <si>
    <t>shampun_dlya_rosta_250ml</t>
  </si>
  <si>
    <t>shampun_protiv_perhoti_250ml</t>
  </si>
  <si>
    <t>silk_hair_300ml</t>
  </si>
  <si>
    <t>spicul_gel_mask_75ml</t>
  </si>
  <si>
    <t>spiculboost_30ml</t>
  </si>
  <si>
    <t>stik_ot_mozoley</t>
  </si>
  <si>
    <t>syvorotka_dlya_lica_30ml</t>
  </si>
  <si>
    <t>syvorotka_dlya_rosta_6ml</t>
  </si>
  <si>
    <t>syvorotka_dlya_rosta_6ml_v2</t>
  </si>
  <si>
    <t>tonik_dlya_lica_200ml</t>
  </si>
  <si>
    <t>Общий итог</t>
  </si>
  <si>
    <t>Май руб.</t>
  </si>
  <si>
    <t>Июнь шт.</t>
  </si>
  <si>
    <t>nabor_penka_dlya_resnic</t>
  </si>
  <si>
    <t>nabor_remuver_40ml_1_1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</si>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</sst>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1"/>
      <color rgb="FF000000"/>
      <name val="Calibri"/>
      <family val="2"/>
      <charset val="204"/>
    </font>
    <font>
      <b/>
      <sz val="11"/>
      <color theme="0"/>
      <name val="Calibri"/>
      <family val="2"/>
      <charset val="204"/>
    </font>
    <font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 applyBorder="0"/>
  </cellStyleXfs>
  <cellXfs count="11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1" fillId="0" borderId="0" xfId="0" applyFont="1"/>
    <xf numFmtId="0" fontId="3" fillId="2" borderId="1" xfId="0" applyFont="1" applyFill="1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tabSelected="1" workbookViewId="0">
      <selection activeCell="A12" sqref="A12"/>
    </sheetView>
  </sheetViews>
  <sheetFormatPr defaultRowHeight="15" x14ac:dyDescent="0.25"/>
  <cols>
    <col min="1" max="1" width="104.5703125" bestFit="1" customWidth="1"/>
    <col min="3" max="3" width="14.140625" bestFit="1" customWidth="1"/>
  </cols>
  <sheetData>
    <row r="1" spans="1:9" x14ac:dyDescent="0.25">
      <c r="A1" s="4" t="s">
        <v>0</v>
      </c>
      <c r="B1" s="4" t="s">
        <v>1</v>
      </c>
      <c r="C1" s="4" t="s">
        <v>2</v>
      </c>
      <c r="D1" s="4" t="s">
        <v>92</v>
      </c>
      <c r="E1" s="4" t="s">
        <v>93</v>
      </c>
      <c r="F1" s="4" t="s">
        <v>94</v>
      </c>
      <c r="G1" s="4" t="s">
        <v>95</v>
      </c>
      <c r="H1" s="4" t="s">
        <v>96</v>
      </c>
      <c r="I1" s="4" t="s">
        <v>97</v>
      </c>
    </row>
    <row r="2" spans="1:9" x14ac:dyDescent="0.25">
      <c r="A2" s="1" t="s">
        <v>3</v>
      </c>
      <c r="B2" s="1" t="s">
        <v>4</v>
      </c>
      <c r="C2" s="1" t="s">
        <v>5</v>
      </c>
      <c r="D2" s="1">
        <v>56818</v>
      </c>
      <c r="E2" s="1">
        <v>76</v>
      </c>
      <c r="F2" s="1">
        <v>88552</v>
      </c>
      <c r="G2" s="1">
        <v>127</v>
      </c>
      <c r="H2" s="1">
        <v>1545</v>
      </c>
      <c r="I2" s="1">
        <v>2</v>
      </c>
    </row>
    <row r="3" spans="1:9" x14ac:dyDescent="0.25">
      <c r="A3" s="1" t="s">
        <v>6</v>
      </c>
      <c r="B3" s="1" t="s">
        <v>7</v>
      </c>
      <c r="C3" s="1" t="s">
        <v>8</v>
      </c>
      <c r="D3" s="1">
        <v>99113</v>
      </c>
      <c r="E3" s="1">
        <v>135</v>
      </c>
      <c r="F3" s="1">
        <v>79191</v>
      </c>
      <c r="G3" s="1">
        <v>107</v>
      </c>
      <c r="H3" s="1">
        <v>71437</v>
      </c>
      <c r="I3" s="1">
        <v>95</v>
      </c>
    </row>
    <row r="4" spans="1:9" x14ac:dyDescent="0.25">
      <c r="A4" s="1" t="s">
        <v>9</v>
      </c>
      <c r="B4" s="1" t="s">
        <v>10</v>
      </c>
      <c r="C4" s="1" t="s">
        <v>11</v>
      </c>
      <c r="D4" s="1">
        <v>50491</v>
      </c>
      <c r="E4" s="1">
        <v>61</v>
      </c>
      <c r="F4" s="1">
        <v>75878</v>
      </c>
      <c r="G4" s="1">
        <v>113</v>
      </c>
      <c r="H4" s="1">
        <v>50848</v>
      </c>
      <c r="I4" s="1">
        <v>60</v>
      </c>
    </row>
    <row r="5" spans="1:9" x14ac:dyDescent="0.25">
      <c r="A5" s="1" t="s">
        <v>12</v>
      </c>
      <c r="B5" s="1" t="s">
        <v>13</v>
      </c>
      <c r="C5" s="1" t="s">
        <v>14</v>
      </c>
      <c r="D5" s="1">
        <v>113681</v>
      </c>
      <c r="E5" s="1">
        <v>99</v>
      </c>
      <c r="F5" s="1">
        <v>75133</v>
      </c>
      <c r="G5" s="1">
        <v>85</v>
      </c>
      <c r="H5" s="1">
        <v>37638</v>
      </c>
      <c r="I5" s="1">
        <v>38</v>
      </c>
    </row>
    <row r="6" spans="1:9" x14ac:dyDescent="0.25">
      <c r="A6" s="1" t="s">
        <v>15</v>
      </c>
      <c r="B6" s="1" t="s">
        <v>16</v>
      </c>
      <c r="C6" s="1" t="s">
        <v>17</v>
      </c>
      <c r="D6" s="1"/>
      <c r="E6" s="1"/>
      <c r="F6" s="1">
        <v>72279</v>
      </c>
      <c r="G6" s="1">
        <v>72</v>
      </c>
      <c r="H6" s="1">
        <v>17979</v>
      </c>
      <c r="I6" s="1">
        <v>20</v>
      </c>
    </row>
    <row r="7" spans="1:9" x14ac:dyDescent="0.25">
      <c r="A7" s="1" t="s">
        <v>18</v>
      </c>
      <c r="B7" s="1" t="s">
        <v>19</v>
      </c>
      <c r="C7" s="1" t="s">
        <v>20</v>
      </c>
      <c r="D7" s="1">
        <v>51556</v>
      </c>
      <c r="E7" s="1">
        <v>32</v>
      </c>
      <c r="F7" s="1">
        <v>65829</v>
      </c>
      <c r="G7" s="1">
        <v>66</v>
      </c>
      <c r="H7" s="1">
        <v>102488</v>
      </c>
      <c r="I7" s="1">
        <v>87</v>
      </c>
    </row>
    <row r="8" spans="1:9" x14ac:dyDescent="0.25">
      <c r="A8" s="1" t="s">
        <v>21</v>
      </c>
      <c r="B8" s="1" t="s">
        <v>22</v>
      </c>
      <c r="C8" s="1" t="s">
        <v>23</v>
      </c>
      <c r="D8" s="1">
        <v>32880</v>
      </c>
      <c r="E8" s="1">
        <v>21</v>
      </c>
      <c r="F8" s="1">
        <v>56398</v>
      </c>
      <c r="G8" s="1">
        <v>53</v>
      </c>
      <c r="H8" s="1">
        <v>25528</v>
      </c>
      <c r="I8" s="1">
        <v>16</v>
      </c>
    </row>
    <row r="9" spans="1:9" x14ac:dyDescent="0.25">
      <c r="A9" s="1" t="s">
        <v>24</v>
      </c>
      <c r="B9" s="1" t="s">
        <v>25</v>
      </c>
      <c r="C9" s="1" t="s">
        <v>26</v>
      </c>
      <c r="D9" s="1">
        <v>61905</v>
      </c>
      <c r="E9" s="1">
        <v>111</v>
      </c>
      <c r="F9" s="1">
        <v>53428</v>
      </c>
      <c r="G9" s="1">
        <v>103</v>
      </c>
      <c r="H9" s="1">
        <v>65217</v>
      </c>
      <c r="I9" s="1">
        <v>122</v>
      </c>
    </row>
    <row r="10" spans="1:9" x14ac:dyDescent="0.25">
      <c r="A10" s="1" t="s">
        <v>27</v>
      </c>
      <c r="B10" s="1" t="s">
        <v>28</v>
      </c>
      <c r="C10" s="1" t="s">
        <v>29</v>
      </c>
      <c r="D10" s="1">
        <v>30668</v>
      </c>
      <c r="E10" s="1">
        <v>50</v>
      </c>
      <c r="F10" s="1">
        <v>42541</v>
      </c>
      <c r="G10" s="1">
        <v>70</v>
      </c>
      <c r="H10" s="1">
        <v>22680</v>
      </c>
      <c r="I10" s="1">
        <v>38</v>
      </c>
    </row>
    <row r="11" spans="1:9" x14ac:dyDescent="0.25">
      <c r="A11" s="1" t="s">
        <v>30</v>
      </c>
      <c r="B11" s="1" t="s">
        <v>31</v>
      </c>
      <c r="C11" s="1" t="s">
        <v>32</v>
      </c>
      <c r="D11" s="1">
        <v>39774</v>
      </c>
      <c r="E11" s="1">
        <v>53</v>
      </c>
      <c r="F11" s="1">
        <v>34161</v>
      </c>
      <c r="G11" s="1">
        <v>55</v>
      </c>
      <c r="H11" s="1">
        <v>15313</v>
      </c>
      <c r="I11" s="1">
        <v>20</v>
      </c>
    </row>
    <row r="12" spans="1:9" x14ac:dyDescent="0.25">
      <c r="A12" s="1" t="s">
        <v>21</v>
      </c>
      <c r="B12" s="1" t="s">
        <v>33</v>
      </c>
      <c r="C12" s="1" t="s">
        <v>34</v>
      </c>
      <c r="D12" s="1">
        <v>70100</v>
      </c>
      <c r="E12" s="1">
        <v>61</v>
      </c>
      <c r="F12" s="1">
        <v>33324</v>
      </c>
      <c r="G12" s="1">
        <v>30</v>
      </c>
      <c r="H12" s="1">
        <v>9578</v>
      </c>
      <c r="I12" s="1">
        <v>9</v>
      </c>
    </row>
    <row r="13" spans="1:9" x14ac:dyDescent="0.25">
      <c r="A13" s="1" t="s">
        <v>35</v>
      </c>
      <c r="B13" s="1" t="s">
        <v>36</v>
      </c>
      <c r="C13" s="1" t="s">
        <v>37</v>
      </c>
      <c r="D13" s="1"/>
      <c r="E13" s="1"/>
      <c r="F13" s="1">
        <v>29235</v>
      </c>
      <c r="G13" s="1">
        <v>66</v>
      </c>
      <c r="H13" s="1">
        <v>8393</v>
      </c>
      <c r="I13" s="1">
        <v>12</v>
      </c>
    </row>
    <row r="14" spans="1:9" x14ac:dyDescent="0.25">
      <c r="A14" s="1" t="s">
        <v>38</v>
      </c>
      <c r="B14" s="1" t="s">
        <v>39</v>
      </c>
      <c r="C14" s="1" t="s">
        <v>40</v>
      </c>
      <c r="D14" s="1">
        <v>29610</v>
      </c>
      <c r="E14" s="1">
        <v>27</v>
      </c>
      <c r="F14" s="1">
        <v>21666</v>
      </c>
      <c r="G14" s="1">
        <v>28</v>
      </c>
      <c r="H14" s="1">
        <v>6483</v>
      </c>
      <c r="I14" s="1">
        <v>6</v>
      </c>
    </row>
    <row r="15" spans="1:9" x14ac:dyDescent="0.25">
      <c r="A15" s="1" t="s">
        <v>41</v>
      </c>
      <c r="B15" s="1" t="s">
        <v>42</v>
      </c>
      <c r="C15" s="1" t="s">
        <v>43</v>
      </c>
      <c r="D15" s="1">
        <v>21405</v>
      </c>
      <c r="E15" s="1">
        <v>27</v>
      </c>
      <c r="F15" s="1">
        <v>19388</v>
      </c>
      <c r="G15" s="1">
        <v>30</v>
      </c>
      <c r="H15" s="1">
        <v>10699</v>
      </c>
      <c r="I15" s="1">
        <v>13</v>
      </c>
    </row>
    <row r="16" spans="1:9" x14ac:dyDescent="0.25">
      <c r="A16" s="1" t="s">
        <v>44</v>
      </c>
      <c r="B16" s="1" t="s">
        <v>45</v>
      </c>
      <c r="C16" s="1" t="s">
        <v>46</v>
      </c>
      <c r="D16" s="1">
        <v>14718</v>
      </c>
      <c r="E16" s="1">
        <v>13</v>
      </c>
      <c r="F16" s="1">
        <v>18937</v>
      </c>
      <c r="G16" s="1">
        <v>27</v>
      </c>
      <c r="H16" s="1">
        <v>7436</v>
      </c>
      <c r="I16" s="1">
        <v>8</v>
      </c>
    </row>
    <row r="17" spans="1:9" x14ac:dyDescent="0.25">
      <c r="A17" s="1" t="s">
        <v>47</v>
      </c>
      <c r="B17" s="1" t="s">
        <v>48</v>
      </c>
      <c r="C17" s="1" t="s">
        <v>49</v>
      </c>
      <c r="D17" s="1">
        <v>30113</v>
      </c>
      <c r="E17" s="1">
        <v>28</v>
      </c>
      <c r="F17" s="1">
        <v>18905</v>
      </c>
      <c r="G17" s="1">
        <v>17</v>
      </c>
      <c r="H17" s="1">
        <v>16081</v>
      </c>
      <c r="I17" s="1">
        <v>15</v>
      </c>
    </row>
    <row r="18" spans="1:9" x14ac:dyDescent="0.25">
      <c r="A18" s="1" t="s">
        <v>50</v>
      </c>
      <c r="B18" s="1" t="s">
        <v>51</v>
      </c>
      <c r="C18" s="1" t="s">
        <v>52</v>
      </c>
      <c r="D18" s="1">
        <v>26163</v>
      </c>
      <c r="E18" s="1">
        <v>37</v>
      </c>
      <c r="F18" s="1">
        <v>15910</v>
      </c>
      <c r="G18" s="1">
        <v>34</v>
      </c>
      <c r="H18" s="1">
        <v>1462</v>
      </c>
      <c r="I18" s="1">
        <v>4</v>
      </c>
    </row>
    <row r="19" spans="1:9" x14ac:dyDescent="0.25">
      <c r="A19" s="1" t="s">
        <v>53</v>
      </c>
      <c r="B19" s="1" t="s">
        <v>54</v>
      </c>
      <c r="C19" s="1" t="s">
        <v>55</v>
      </c>
      <c r="D19" s="1">
        <v>19306</v>
      </c>
      <c r="E19" s="1">
        <v>29</v>
      </c>
      <c r="F19" s="1">
        <v>14042</v>
      </c>
      <c r="G19" s="1">
        <v>21</v>
      </c>
      <c r="H19" s="1">
        <v>2172</v>
      </c>
      <c r="I19" s="1">
        <v>3</v>
      </c>
    </row>
    <row r="20" spans="1:9" x14ac:dyDescent="0.25">
      <c r="A20" s="1" t="s">
        <v>56</v>
      </c>
      <c r="B20" s="1" t="s">
        <v>57</v>
      </c>
      <c r="C20" s="1" t="s">
        <v>58</v>
      </c>
      <c r="D20" s="1">
        <v>27507</v>
      </c>
      <c r="E20" s="1">
        <v>41</v>
      </c>
      <c r="F20" s="1">
        <v>11965</v>
      </c>
      <c r="G20" s="1">
        <v>17</v>
      </c>
      <c r="H20" s="1">
        <v>2676</v>
      </c>
      <c r="I20" s="1">
        <v>4</v>
      </c>
    </row>
    <row r="21" spans="1:9" x14ac:dyDescent="0.25">
      <c r="A21" s="1" t="s">
        <v>59</v>
      </c>
      <c r="B21" s="1" t="s">
        <v>60</v>
      </c>
      <c r="C21" s="1" t="s">
        <v>61</v>
      </c>
      <c r="D21" s="1">
        <v>16658</v>
      </c>
      <c r="E21" s="1">
        <v>24</v>
      </c>
      <c r="F21" s="1">
        <v>11337</v>
      </c>
      <c r="G21" s="1">
        <v>15</v>
      </c>
      <c r="H21" s="1">
        <v>6280</v>
      </c>
      <c r="I21" s="1">
        <v>9</v>
      </c>
    </row>
    <row r="22" spans="1:9" x14ac:dyDescent="0.25">
      <c r="A22" s="1" t="s">
        <v>62</v>
      </c>
      <c r="B22" s="1" t="s">
        <v>63</v>
      </c>
      <c r="C22" s="1" t="s">
        <v>64</v>
      </c>
      <c r="D22" s="1">
        <v>7496</v>
      </c>
      <c r="E22" s="1">
        <v>7</v>
      </c>
      <c r="F22" s="1">
        <v>9806</v>
      </c>
      <c r="G22" s="1">
        <v>14</v>
      </c>
      <c r="H22" s="1">
        <v>8788</v>
      </c>
      <c r="I22" s="1">
        <v>8</v>
      </c>
    </row>
    <row r="23" spans="1:9" x14ac:dyDescent="0.25">
      <c r="A23" s="1" t="s">
        <v>65</v>
      </c>
      <c r="B23" s="1" t="s">
        <v>66</v>
      </c>
      <c r="C23" s="1" t="s">
        <v>67</v>
      </c>
      <c r="D23" s="1">
        <v>25900</v>
      </c>
      <c r="E23" s="1">
        <v>38</v>
      </c>
      <c r="F23" s="1">
        <v>9706</v>
      </c>
      <c r="G23" s="1">
        <v>13</v>
      </c>
      <c r="H23" s="1">
        <v>2774</v>
      </c>
      <c r="I23" s="1">
        <v>4</v>
      </c>
    </row>
    <row r="24" spans="1:9" x14ac:dyDescent="0.25">
      <c r="A24" s="1" t="s">
        <v>68</v>
      </c>
      <c r="B24" s="1" t="s">
        <v>69</v>
      </c>
      <c r="C24" s="1" t="s">
        <v>70</v>
      </c>
      <c r="D24" s="1">
        <v>8621</v>
      </c>
      <c r="E24" s="1">
        <v>17</v>
      </c>
      <c r="F24" s="1">
        <v>8283</v>
      </c>
      <c r="G24" s="1">
        <v>16</v>
      </c>
      <c r="H24" s="1">
        <v>2525</v>
      </c>
      <c r="I24" s="1">
        <v>4</v>
      </c>
    </row>
    <row r="25" spans="1:9" x14ac:dyDescent="0.25">
      <c r="A25" s="1" t="s">
        <v>71</v>
      </c>
      <c r="B25" s="1" t="s">
        <v>72</v>
      </c>
      <c r="C25" s="1" t="s">
        <v>73</v>
      </c>
      <c r="D25" s="1">
        <v>9538</v>
      </c>
      <c r="E25" s="1">
        <v>15</v>
      </c>
      <c r="F25" s="1">
        <v>6315</v>
      </c>
      <c r="G25" s="1">
        <v>9</v>
      </c>
      <c r="H25" s="1">
        <v>2139</v>
      </c>
      <c r="I25" s="1">
        <v>3</v>
      </c>
    </row>
    <row r="26" spans="1:9" x14ac:dyDescent="0.25">
      <c r="A26" s="1" t="s">
        <v>74</v>
      </c>
      <c r="B26" s="1" t="s">
        <v>75</v>
      </c>
      <c r="C26" s="1" t="s">
        <v>76</v>
      </c>
      <c r="D26" s="1">
        <v>4711</v>
      </c>
      <c r="E26" s="1">
        <v>7</v>
      </c>
      <c r="F26" s="1">
        <v>5681</v>
      </c>
      <c r="G26" s="1">
        <v>8</v>
      </c>
      <c r="H26" s="1">
        <v>2041</v>
      </c>
      <c r="I26" s="1">
        <v>3</v>
      </c>
    </row>
    <row r="27" spans="1:9" x14ac:dyDescent="0.25">
      <c r="A27" s="1" t="s">
        <v>77</v>
      </c>
      <c r="B27" s="1" t="s">
        <v>78</v>
      </c>
      <c r="C27" s="1" t="s">
        <v>79</v>
      </c>
      <c r="D27" s="1"/>
      <c r="E27" s="1"/>
      <c r="F27" s="1">
        <v>5396</v>
      </c>
      <c r="G27" s="1">
        <v>7</v>
      </c>
      <c r="H27" s="1">
        <v>6458</v>
      </c>
      <c r="I27" s="1">
        <v>8</v>
      </c>
    </row>
    <row r="28" spans="1:9" x14ac:dyDescent="0.25">
      <c r="A28" s="1" t="s">
        <v>80</v>
      </c>
      <c r="B28" s="1" t="s">
        <v>81</v>
      </c>
      <c r="C28" s="1" t="s">
        <v>82</v>
      </c>
      <c r="D28" s="1">
        <v>2995</v>
      </c>
      <c r="E28" s="1">
        <v>8</v>
      </c>
      <c r="F28" s="1">
        <v>2370</v>
      </c>
      <c r="G28" s="1">
        <v>6</v>
      </c>
      <c r="H28" s="1"/>
      <c r="I28" s="1"/>
    </row>
    <row r="29" spans="1:9" x14ac:dyDescent="0.25">
      <c r="A29" s="1" t="s">
        <v>83</v>
      </c>
      <c r="B29" s="1" t="s">
        <v>84</v>
      </c>
      <c r="C29" s="1" t="s">
        <v>85</v>
      </c>
      <c r="D29" s="1">
        <v>7138</v>
      </c>
      <c r="E29" s="1">
        <v>9</v>
      </c>
      <c r="F29" s="1">
        <v>1403</v>
      </c>
      <c r="G29" s="1">
        <v>2</v>
      </c>
      <c r="H29" s="1">
        <v>1797</v>
      </c>
      <c r="I29" s="1">
        <v>2</v>
      </c>
    </row>
    <row r="30" spans="1:9" x14ac:dyDescent="0.25">
      <c r="A30" s="1" t="s">
        <v>86</v>
      </c>
      <c r="B30" s="1" t="s">
        <v>87</v>
      </c>
      <c r="C30" s="1" t="s">
        <v>88</v>
      </c>
      <c r="D30" s="1">
        <v>1975</v>
      </c>
      <c r="E30" s="1">
        <v>3</v>
      </c>
      <c r="F30" s="1">
        <v>1318</v>
      </c>
      <c r="G30" s="1">
        <v>2</v>
      </c>
      <c r="H30" s="1"/>
      <c r="I30" s="1"/>
    </row>
    <row r="31" spans="1:9" x14ac:dyDescent="0.25">
      <c r="A31" s="1" t="s">
        <v>89</v>
      </c>
      <c r="B31" s="1" t="s">
        <v>90</v>
      </c>
      <c r="C31" s="1" t="s">
        <v>91</v>
      </c>
      <c r="D31" s="1">
        <v>771</v>
      </c>
      <c r="E31" s="1">
        <v>1</v>
      </c>
      <c r="F31" s="1">
        <v>634</v>
      </c>
      <c r="G31" s="1">
        <v>1</v>
      </c>
      <c r="H31" s="1"/>
      <c r="I31" s="1"/>
    </row>
    <row r="32" spans="1:9" s="3" customFormat="1" x14ac:dyDescent="0.25">
      <c r="A32" s="10" t="s">
        <v>140</v>
      </c>
      <c r="D32" s="3">
        <f>SUM(D2:D31)</f>
        <v>861611</v>
      </c>
      <c r="E32" s="3">
        <f t="shared" ref="E32:I32" si="0">SUM(E2:E31)</f>
        <v>1030</v>
      </c>
      <c r="F32" s="3">
        <f t="shared" si="0"/>
        <v>889011</v>
      </c>
      <c r="G32" s="3">
        <f t="shared" si="0"/>
        <v>1214</v>
      </c>
      <c r="H32" s="3">
        <f t="shared" si="0"/>
        <v>508455</v>
      </c>
      <c r="I32" s="3">
        <f t="shared" si="0"/>
        <v>613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2C41C-68B4-4699-BA16-55FBB3A313CA}">
  <dimension ref="A1:G57"/>
  <sheetViews>
    <sheetView topLeftCell="A16" workbookViewId="0">
      <selection activeCell="B1" sqref="B1:G1"/>
    </sheetView>
  </sheetViews>
  <sheetFormatPr defaultRowHeight="15" x14ac:dyDescent="0.25"/>
  <cols>
    <col min="1" max="1" width="33.42578125" bestFit="1" customWidth="1"/>
    <col min="2" max="2" width="13" bestFit="1" customWidth="1"/>
    <col min="4" max="4" width="10.140625" bestFit="1" customWidth="1"/>
    <col min="6" max="6" width="8.85546875" customWidth="1"/>
  </cols>
  <sheetData>
    <row r="1" spans="1:7" x14ac:dyDescent="0.25">
      <c r="A1" s="2" t="s">
        <v>1</v>
      </c>
      <c r="B1" s="2" t="s">
        <v>93</v>
      </c>
      <c r="C1" s="2" t="s">
        <v>92</v>
      </c>
      <c r="D1" s="2" t="s">
        <v>95</v>
      </c>
      <c r="E1" s="2" t="s">
        <v>136</v>
      </c>
      <c r="F1" s="2" t="s">
        <v>137</v>
      </c>
      <c r="G1" s="2" t="s">
        <v>96</v>
      </c>
    </row>
    <row r="2" spans="1:7" x14ac:dyDescent="0.25">
      <c r="A2" s="1" t="s">
        <v>98</v>
      </c>
      <c r="B2" s="1">
        <v>0</v>
      </c>
      <c r="C2" s="1">
        <v>0</v>
      </c>
      <c r="D2" s="1">
        <v>6</v>
      </c>
      <c r="E2" s="1">
        <v>3230</v>
      </c>
      <c r="F2" s="1">
        <v>45</v>
      </c>
      <c r="G2" s="1">
        <v>22398</v>
      </c>
    </row>
    <row r="3" spans="1:7" x14ac:dyDescent="0.25">
      <c r="A3" s="1" t="s">
        <v>90</v>
      </c>
      <c r="B3" s="1">
        <v>1</v>
      </c>
      <c r="C3" s="1">
        <v>436</v>
      </c>
      <c r="D3" s="1">
        <v>1</v>
      </c>
      <c r="E3" s="1">
        <v>436</v>
      </c>
      <c r="F3" s="1">
        <v>0</v>
      </c>
      <c r="G3" s="1">
        <v>0</v>
      </c>
    </row>
    <row r="4" spans="1:7" x14ac:dyDescent="0.25">
      <c r="A4" s="1" t="s">
        <v>63</v>
      </c>
      <c r="B4" s="1">
        <v>1</v>
      </c>
      <c r="C4" s="1">
        <v>456</v>
      </c>
      <c r="D4" s="1">
        <v>0</v>
      </c>
      <c r="E4" s="1">
        <v>0</v>
      </c>
      <c r="F4" s="1">
        <v>0</v>
      </c>
      <c r="G4" s="1">
        <v>0</v>
      </c>
    </row>
    <row r="5" spans="1:7" x14ac:dyDescent="0.25">
      <c r="A5" s="1" t="s">
        <v>99</v>
      </c>
      <c r="B5" s="1">
        <v>1</v>
      </c>
      <c r="C5" s="1">
        <v>416</v>
      </c>
      <c r="D5" s="1">
        <v>0</v>
      </c>
      <c r="E5" s="1">
        <v>0</v>
      </c>
      <c r="F5" s="1">
        <v>0</v>
      </c>
      <c r="G5" s="1">
        <v>0</v>
      </c>
    </row>
    <row r="6" spans="1:7" x14ac:dyDescent="0.25">
      <c r="A6" s="1" t="s">
        <v>25</v>
      </c>
      <c r="B6" s="1">
        <v>113</v>
      </c>
      <c r="C6" s="1">
        <v>35883</v>
      </c>
      <c r="D6" s="1">
        <v>150</v>
      </c>
      <c r="E6" s="1">
        <v>47930</v>
      </c>
      <c r="F6" s="1">
        <v>54</v>
      </c>
      <c r="G6" s="1">
        <v>15976</v>
      </c>
    </row>
    <row r="7" spans="1:7" x14ac:dyDescent="0.25">
      <c r="A7" s="1" t="s">
        <v>100</v>
      </c>
      <c r="B7" s="1">
        <v>5</v>
      </c>
      <c r="C7" s="1">
        <v>1468</v>
      </c>
      <c r="D7" s="1">
        <v>40</v>
      </c>
      <c r="E7" s="1">
        <v>17837</v>
      </c>
      <c r="F7" s="1">
        <v>18</v>
      </c>
      <c r="G7" s="1">
        <v>8153</v>
      </c>
    </row>
    <row r="8" spans="1:7" x14ac:dyDescent="0.25">
      <c r="A8" s="1" t="s">
        <v>101</v>
      </c>
      <c r="B8" s="1">
        <v>0</v>
      </c>
      <c r="C8" s="1">
        <v>0</v>
      </c>
      <c r="D8" s="1">
        <v>5</v>
      </c>
      <c r="E8" s="1">
        <v>3057</v>
      </c>
      <c r="F8" s="1">
        <v>2</v>
      </c>
      <c r="G8" s="1">
        <v>1231</v>
      </c>
    </row>
    <row r="9" spans="1:7" x14ac:dyDescent="0.25">
      <c r="A9" s="1" t="s">
        <v>102</v>
      </c>
      <c r="B9" s="1">
        <v>2</v>
      </c>
      <c r="C9" s="1">
        <v>401</v>
      </c>
      <c r="D9" s="1">
        <v>3</v>
      </c>
      <c r="E9" s="1">
        <v>825</v>
      </c>
      <c r="F9" s="1">
        <v>1</v>
      </c>
      <c r="G9" s="1">
        <v>233</v>
      </c>
    </row>
    <row r="10" spans="1:7" x14ac:dyDescent="0.25">
      <c r="A10" s="1" t="s">
        <v>103</v>
      </c>
      <c r="B10" s="1">
        <v>2</v>
      </c>
      <c r="C10" s="1">
        <v>800</v>
      </c>
      <c r="D10" s="1">
        <v>3</v>
      </c>
      <c r="E10" s="1">
        <v>1327</v>
      </c>
      <c r="F10" s="1">
        <v>1</v>
      </c>
      <c r="G10" s="1">
        <v>420</v>
      </c>
    </row>
    <row r="11" spans="1:7" x14ac:dyDescent="0.25">
      <c r="A11" s="1" t="s">
        <v>104</v>
      </c>
      <c r="B11" s="1">
        <v>108</v>
      </c>
      <c r="C11" s="1">
        <v>33189</v>
      </c>
      <c r="D11" s="1">
        <v>3</v>
      </c>
      <c r="E11" s="1">
        <v>1126</v>
      </c>
      <c r="F11" s="1">
        <v>0</v>
      </c>
      <c r="G11" s="1">
        <v>0</v>
      </c>
    </row>
    <row r="12" spans="1:7" x14ac:dyDescent="0.25">
      <c r="A12" s="1" t="s">
        <v>69</v>
      </c>
      <c r="B12" s="1">
        <v>1</v>
      </c>
      <c r="C12" s="1">
        <v>450</v>
      </c>
      <c r="D12" s="1">
        <v>0</v>
      </c>
      <c r="E12" s="1">
        <v>0</v>
      </c>
      <c r="F12" s="1">
        <v>0</v>
      </c>
      <c r="G12" s="1">
        <v>0</v>
      </c>
    </row>
    <row r="13" spans="1:7" x14ac:dyDescent="0.25">
      <c r="A13" s="1" t="s">
        <v>105</v>
      </c>
      <c r="B13" s="1">
        <v>57</v>
      </c>
      <c r="C13" s="1">
        <v>33610</v>
      </c>
      <c r="D13" s="1">
        <v>17</v>
      </c>
      <c r="E13" s="1">
        <v>9067</v>
      </c>
      <c r="F13" s="1">
        <v>3</v>
      </c>
      <c r="G13" s="1">
        <v>1592</v>
      </c>
    </row>
    <row r="14" spans="1:7" x14ac:dyDescent="0.25">
      <c r="A14" s="1" t="s">
        <v>51</v>
      </c>
      <c r="B14" s="1">
        <v>14</v>
      </c>
      <c r="C14" s="1">
        <v>3939</v>
      </c>
      <c r="D14" s="1">
        <v>95</v>
      </c>
      <c r="E14" s="1">
        <v>26764</v>
      </c>
      <c r="F14" s="1">
        <v>45</v>
      </c>
      <c r="G14" s="1">
        <v>12235</v>
      </c>
    </row>
    <row r="15" spans="1:7" x14ac:dyDescent="0.25">
      <c r="A15" s="1" t="s">
        <v>39</v>
      </c>
      <c r="B15" s="1">
        <v>32</v>
      </c>
      <c r="C15" s="1">
        <v>15857</v>
      </c>
      <c r="D15" s="1">
        <v>39</v>
      </c>
      <c r="E15" s="1">
        <v>18814</v>
      </c>
      <c r="F15" s="1">
        <v>20</v>
      </c>
      <c r="G15" s="1">
        <v>9368</v>
      </c>
    </row>
    <row r="16" spans="1:7" x14ac:dyDescent="0.25">
      <c r="A16" s="1" t="s">
        <v>10</v>
      </c>
      <c r="B16" s="1">
        <v>23</v>
      </c>
      <c r="C16" s="1">
        <v>9118</v>
      </c>
      <c r="D16" s="1">
        <v>112</v>
      </c>
      <c r="E16" s="1">
        <v>47960</v>
      </c>
      <c r="F16" s="1">
        <v>33</v>
      </c>
      <c r="G16" s="1">
        <v>14327</v>
      </c>
    </row>
    <row r="17" spans="1:7" x14ac:dyDescent="0.25">
      <c r="A17" s="1" t="s">
        <v>107</v>
      </c>
      <c r="B17" s="1">
        <v>0</v>
      </c>
      <c r="C17" s="1">
        <v>0</v>
      </c>
      <c r="D17" s="1">
        <v>2</v>
      </c>
      <c r="E17" s="1">
        <v>1166</v>
      </c>
      <c r="F17" s="1">
        <v>4</v>
      </c>
      <c r="G17" s="1">
        <v>1979</v>
      </c>
    </row>
    <row r="18" spans="1:7" x14ac:dyDescent="0.25">
      <c r="A18" s="1" t="s">
        <v>28</v>
      </c>
      <c r="B18" s="1">
        <v>0</v>
      </c>
      <c r="C18" s="1">
        <v>0</v>
      </c>
      <c r="D18" s="1">
        <v>1</v>
      </c>
      <c r="E18" s="1">
        <v>273</v>
      </c>
      <c r="F18" s="1">
        <v>15</v>
      </c>
      <c r="G18" s="1">
        <v>3915</v>
      </c>
    </row>
    <row r="19" spans="1:7" x14ac:dyDescent="0.25">
      <c r="A19" s="1" t="s">
        <v>7</v>
      </c>
      <c r="B19" s="1">
        <v>17</v>
      </c>
      <c r="C19" s="1">
        <v>7880</v>
      </c>
      <c r="D19" s="1">
        <v>112</v>
      </c>
      <c r="E19" s="1">
        <v>53779</v>
      </c>
      <c r="F19" s="1">
        <v>40</v>
      </c>
      <c r="G19" s="1">
        <v>18838</v>
      </c>
    </row>
    <row r="20" spans="1:7" x14ac:dyDescent="0.25">
      <c r="A20" s="1" t="s">
        <v>108</v>
      </c>
      <c r="B20" s="1">
        <v>0</v>
      </c>
      <c r="C20" s="1">
        <v>0</v>
      </c>
      <c r="D20" s="1">
        <v>50</v>
      </c>
      <c r="E20" s="1">
        <v>36109</v>
      </c>
      <c r="F20" s="1">
        <v>22</v>
      </c>
      <c r="G20" s="1">
        <v>15499</v>
      </c>
    </row>
    <row r="21" spans="1:7" x14ac:dyDescent="0.25">
      <c r="A21" s="1" t="s">
        <v>42</v>
      </c>
      <c r="B21" s="1">
        <v>41</v>
      </c>
      <c r="C21" s="1">
        <v>16198</v>
      </c>
      <c r="D21" s="1">
        <v>41</v>
      </c>
      <c r="E21" s="1">
        <v>15261</v>
      </c>
      <c r="F21" s="1">
        <v>20</v>
      </c>
      <c r="G21" s="1">
        <v>7559</v>
      </c>
    </row>
    <row r="22" spans="1:7" x14ac:dyDescent="0.25">
      <c r="A22" s="1" t="s">
        <v>109</v>
      </c>
      <c r="B22" s="1">
        <v>43</v>
      </c>
      <c r="C22" s="1">
        <v>19103</v>
      </c>
      <c r="D22" s="1">
        <v>44</v>
      </c>
      <c r="E22" s="1">
        <v>20342</v>
      </c>
      <c r="F22" s="1">
        <v>8</v>
      </c>
      <c r="G22" s="1">
        <v>3728</v>
      </c>
    </row>
    <row r="23" spans="1:7" x14ac:dyDescent="0.25">
      <c r="A23" s="1" t="s">
        <v>110</v>
      </c>
      <c r="B23" s="1">
        <v>23</v>
      </c>
      <c r="C23" s="1">
        <v>10125</v>
      </c>
      <c r="D23" s="1">
        <v>30</v>
      </c>
      <c r="E23" s="1">
        <v>11076</v>
      </c>
      <c r="F23" s="1">
        <v>9</v>
      </c>
      <c r="G23" s="1">
        <v>3339</v>
      </c>
    </row>
    <row r="24" spans="1:7" x14ac:dyDescent="0.25">
      <c r="A24" s="1" t="s">
        <v>111</v>
      </c>
      <c r="B24" s="1">
        <v>0</v>
      </c>
      <c r="C24" s="1">
        <v>0</v>
      </c>
      <c r="D24" s="1">
        <v>0</v>
      </c>
      <c r="E24" s="1">
        <v>0</v>
      </c>
      <c r="F24" s="1">
        <v>3</v>
      </c>
      <c r="G24" s="1">
        <v>1677</v>
      </c>
    </row>
    <row r="25" spans="1:7" x14ac:dyDescent="0.25">
      <c r="A25" s="1" t="s">
        <v>112</v>
      </c>
      <c r="B25" s="1">
        <v>11</v>
      </c>
      <c r="C25" s="1">
        <v>4479</v>
      </c>
      <c r="D25" s="1">
        <v>4</v>
      </c>
      <c r="E25" s="1">
        <v>1863</v>
      </c>
      <c r="F25" s="1">
        <v>5</v>
      </c>
      <c r="G25" s="1">
        <v>2248</v>
      </c>
    </row>
    <row r="26" spans="1:7" x14ac:dyDescent="0.25">
      <c r="A26" s="1" t="s">
        <v>81</v>
      </c>
      <c r="B26" s="1">
        <v>1</v>
      </c>
      <c r="C26" s="1">
        <v>296</v>
      </c>
      <c r="D26" s="1">
        <v>3</v>
      </c>
      <c r="E26" s="1">
        <v>964</v>
      </c>
      <c r="F26" s="1">
        <v>0</v>
      </c>
      <c r="G26" s="1">
        <v>0</v>
      </c>
    </row>
    <row r="27" spans="1:7" x14ac:dyDescent="0.25">
      <c r="A27" s="1" t="s">
        <v>113</v>
      </c>
      <c r="B27" s="1">
        <v>53</v>
      </c>
      <c r="C27" s="1">
        <v>17208</v>
      </c>
      <c r="D27" s="1">
        <v>32</v>
      </c>
      <c r="E27" s="1">
        <v>11238</v>
      </c>
      <c r="F27" s="1">
        <v>9</v>
      </c>
      <c r="G27" s="1">
        <v>3303</v>
      </c>
    </row>
    <row r="28" spans="1:7" x14ac:dyDescent="0.25">
      <c r="A28" s="1" t="s">
        <v>114</v>
      </c>
      <c r="B28" s="1">
        <v>2</v>
      </c>
      <c r="C28" s="1">
        <v>652</v>
      </c>
      <c r="D28" s="1">
        <v>0</v>
      </c>
      <c r="E28" s="1">
        <v>0</v>
      </c>
      <c r="F28" s="1">
        <v>0</v>
      </c>
      <c r="G28" s="1">
        <v>0</v>
      </c>
    </row>
    <row r="29" spans="1:7" x14ac:dyDescent="0.25">
      <c r="A29" s="1" t="s">
        <v>115</v>
      </c>
      <c r="B29" s="1">
        <v>6</v>
      </c>
      <c r="C29" s="1">
        <v>3757</v>
      </c>
      <c r="D29" s="1">
        <v>0</v>
      </c>
      <c r="E29" s="1">
        <v>0</v>
      </c>
      <c r="F29" s="1">
        <v>17</v>
      </c>
      <c r="G29" s="1">
        <v>11554</v>
      </c>
    </row>
    <row r="30" spans="1:7" x14ac:dyDescent="0.25">
      <c r="A30" s="1" t="s">
        <v>54</v>
      </c>
      <c r="B30" s="1">
        <v>0</v>
      </c>
      <c r="C30" s="1">
        <v>0</v>
      </c>
      <c r="D30" s="1">
        <v>1</v>
      </c>
      <c r="E30" s="1">
        <v>552</v>
      </c>
      <c r="F30" s="1">
        <v>0</v>
      </c>
      <c r="G30" s="1">
        <v>0</v>
      </c>
    </row>
    <row r="31" spans="1:7" x14ac:dyDescent="0.25">
      <c r="A31" s="1" t="s">
        <v>116</v>
      </c>
      <c r="B31" s="1">
        <v>34</v>
      </c>
      <c r="C31" s="1">
        <v>13829</v>
      </c>
      <c r="D31" s="1">
        <v>1</v>
      </c>
      <c r="E31" s="1">
        <v>489</v>
      </c>
      <c r="F31" s="1">
        <v>1</v>
      </c>
      <c r="G31" s="1">
        <v>434</v>
      </c>
    </row>
    <row r="32" spans="1:7" x14ac:dyDescent="0.25">
      <c r="A32" s="1" t="s">
        <v>13</v>
      </c>
      <c r="B32" s="1">
        <v>62</v>
      </c>
      <c r="C32" s="1">
        <v>44711</v>
      </c>
      <c r="D32" s="1">
        <v>209</v>
      </c>
      <c r="E32" s="1">
        <v>112611</v>
      </c>
      <c r="F32" s="1">
        <v>58</v>
      </c>
      <c r="G32" s="1">
        <v>27809</v>
      </c>
    </row>
    <row r="33" spans="1:7" x14ac:dyDescent="0.25">
      <c r="A33" s="1" t="s">
        <v>117</v>
      </c>
      <c r="B33" s="1">
        <v>7</v>
      </c>
      <c r="C33" s="1">
        <v>6034</v>
      </c>
      <c r="D33" s="1">
        <v>19</v>
      </c>
      <c r="E33" s="1">
        <v>15528</v>
      </c>
      <c r="F33" s="1">
        <v>3</v>
      </c>
      <c r="G33" s="1">
        <v>2284</v>
      </c>
    </row>
    <row r="34" spans="1:7" x14ac:dyDescent="0.25">
      <c r="A34" s="1" t="s">
        <v>118</v>
      </c>
      <c r="B34" s="1">
        <v>13</v>
      </c>
      <c r="C34" s="1">
        <v>10492</v>
      </c>
      <c r="D34" s="1">
        <v>86</v>
      </c>
      <c r="E34" s="1">
        <v>45610</v>
      </c>
      <c r="F34" s="1">
        <v>23</v>
      </c>
      <c r="G34" s="1">
        <v>12282</v>
      </c>
    </row>
    <row r="35" spans="1:7" x14ac:dyDescent="0.25">
      <c r="A35" s="1" t="s">
        <v>120</v>
      </c>
      <c r="B35" s="1">
        <v>0</v>
      </c>
      <c r="C35" s="1">
        <v>0</v>
      </c>
      <c r="D35" s="1">
        <v>6</v>
      </c>
      <c r="E35" s="1">
        <v>4956</v>
      </c>
      <c r="F35" s="1">
        <v>12</v>
      </c>
      <c r="G35" s="1">
        <v>9118</v>
      </c>
    </row>
    <row r="36" spans="1:7" x14ac:dyDescent="0.25">
      <c r="A36" s="1" t="s">
        <v>22</v>
      </c>
      <c r="B36" s="1">
        <v>39</v>
      </c>
      <c r="C36" s="1">
        <v>38316</v>
      </c>
      <c r="D36" s="1">
        <v>110</v>
      </c>
      <c r="E36" s="1">
        <v>65422</v>
      </c>
      <c r="F36" s="1">
        <v>21</v>
      </c>
      <c r="G36" s="1">
        <v>11804</v>
      </c>
    </row>
    <row r="37" spans="1:7" x14ac:dyDescent="0.25">
      <c r="A37" s="1" t="s">
        <v>121</v>
      </c>
      <c r="B37" s="1">
        <v>2</v>
      </c>
      <c r="C37" s="1">
        <v>2987</v>
      </c>
      <c r="D37" s="1">
        <v>1</v>
      </c>
      <c r="E37" s="1">
        <v>1188</v>
      </c>
      <c r="F37" s="1">
        <v>3</v>
      </c>
      <c r="G37" s="1">
        <v>3605</v>
      </c>
    </row>
    <row r="38" spans="1:7" x14ac:dyDescent="0.25">
      <c r="A38" s="1" t="s">
        <v>122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</row>
    <row r="39" spans="1:7" x14ac:dyDescent="0.25">
      <c r="A39" s="1" t="s">
        <v>123</v>
      </c>
      <c r="B39" s="1">
        <v>48</v>
      </c>
      <c r="C39" s="1">
        <v>32081</v>
      </c>
      <c r="D39" s="1">
        <v>72</v>
      </c>
      <c r="E39" s="1">
        <v>45531</v>
      </c>
      <c r="F39" s="1">
        <v>57</v>
      </c>
      <c r="G39" s="1">
        <v>33951</v>
      </c>
    </row>
    <row r="40" spans="1:7" x14ac:dyDescent="0.25">
      <c r="A40" s="1" t="s">
        <v>124</v>
      </c>
      <c r="B40" s="1">
        <v>0</v>
      </c>
      <c r="C40" s="1">
        <v>0</v>
      </c>
      <c r="D40" s="1">
        <v>30</v>
      </c>
      <c r="E40" s="1">
        <v>23569</v>
      </c>
      <c r="F40" s="1">
        <v>29</v>
      </c>
      <c r="G40" s="1">
        <v>22391</v>
      </c>
    </row>
    <row r="41" spans="1:7" x14ac:dyDescent="0.25">
      <c r="A41" s="1" t="s">
        <v>125</v>
      </c>
      <c r="B41" s="1">
        <v>2</v>
      </c>
      <c r="C41" s="1">
        <v>696</v>
      </c>
      <c r="D41" s="1">
        <v>28</v>
      </c>
      <c r="E41" s="1">
        <v>11228</v>
      </c>
      <c r="F41" s="1">
        <v>23</v>
      </c>
      <c r="G41" s="1">
        <v>9551</v>
      </c>
    </row>
    <row r="42" spans="1:7" x14ac:dyDescent="0.25">
      <c r="A42" s="1" t="s">
        <v>126</v>
      </c>
      <c r="B42" s="1">
        <v>32</v>
      </c>
      <c r="C42" s="1">
        <v>12895</v>
      </c>
      <c r="D42" s="1">
        <v>16</v>
      </c>
      <c r="E42" s="1">
        <v>5879</v>
      </c>
      <c r="F42" s="1">
        <v>1</v>
      </c>
      <c r="G42" s="1">
        <v>365</v>
      </c>
    </row>
    <row r="43" spans="1:7" x14ac:dyDescent="0.25">
      <c r="A43" s="1" t="s">
        <v>127</v>
      </c>
      <c r="B43" s="1">
        <v>6</v>
      </c>
      <c r="C43" s="1">
        <v>2111</v>
      </c>
      <c r="D43" s="1">
        <v>4</v>
      </c>
      <c r="E43" s="1">
        <v>1748</v>
      </c>
      <c r="F43" s="1">
        <v>9</v>
      </c>
      <c r="G43" s="1">
        <v>3917</v>
      </c>
    </row>
    <row r="44" spans="1:7" x14ac:dyDescent="0.25">
      <c r="A44" s="1" t="s">
        <v>78</v>
      </c>
      <c r="B44" s="1">
        <v>0</v>
      </c>
      <c r="C44" s="1">
        <v>0</v>
      </c>
      <c r="D44" s="1">
        <v>13</v>
      </c>
      <c r="E44" s="1">
        <v>5643</v>
      </c>
      <c r="F44" s="1">
        <v>3</v>
      </c>
      <c r="G44" s="1">
        <v>1190</v>
      </c>
    </row>
    <row r="45" spans="1:7" x14ac:dyDescent="0.25">
      <c r="A45" s="1" t="s">
        <v>4</v>
      </c>
      <c r="B45" s="1">
        <v>35</v>
      </c>
      <c r="C45" s="1">
        <v>13256</v>
      </c>
      <c r="D45" s="1">
        <v>139</v>
      </c>
      <c r="E45" s="1">
        <v>53425</v>
      </c>
      <c r="F45" s="1">
        <v>45</v>
      </c>
      <c r="G45" s="1">
        <v>17135</v>
      </c>
    </row>
    <row r="46" spans="1:7" x14ac:dyDescent="0.25">
      <c r="A46" s="1" t="s">
        <v>128</v>
      </c>
      <c r="B46" s="1">
        <v>0</v>
      </c>
      <c r="C46" s="1">
        <v>0</v>
      </c>
      <c r="D46" s="1">
        <v>0</v>
      </c>
      <c r="E46" s="1">
        <v>0</v>
      </c>
      <c r="F46" s="1">
        <v>4</v>
      </c>
      <c r="G46" s="1">
        <v>3056</v>
      </c>
    </row>
    <row r="47" spans="1:7" x14ac:dyDescent="0.25">
      <c r="A47" s="1" t="s">
        <v>129</v>
      </c>
      <c r="B47" s="1">
        <v>0</v>
      </c>
      <c r="C47" s="1">
        <v>0</v>
      </c>
      <c r="D47" s="1">
        <v>5</v>
      </c>
      <c r="E47" s="1">
        <v>4010</v>
      </c>
      <c r="F47" s="1">
        <v>11</v>
      </c>
      <c r="G47" s="1">
        <v>8495</v>
      </c>
    </row>
    <row r="48" spans="1:7" x14ac:dyDescent="0.25">
      <c r="A48" s="1" t="s">
        <v>84</v>
      </c>
      <c r="B48" s="1">
        <v>31</v>
      </c>
      <c r="C48" s="1">
        <v>13613</v>
      </c>
      <c r="D48" s="1">
        <v>59</v>
      </c>
      <c r="E48" s="1">
        <v>28416</v>
      </c>
      <c r="F48" s="1">
        <v>10</v>
      </c>
      <c r="G48" s="1">
        <v>4824</v>
      </c>
    </row>
    <row r="49" spans="1:7" x14ac:dyDescent="0.25">
      <c r="A49" s="1" t="s">
        <v>130</v>
      </c>
      <c r="B49" s="1">
        <v>0</v>
      </c>
      <c r="C49" s="1">
        <v>0</v>
      </c>
      <c r="D49" s="1">
        <v>0</v>
      </c>
      <c r="E49" s="1">
        <v>0</v>
      </c>
      <c r="F49" s="1">
        <v>1</v>
      </c>
      <c r="G49" s="1">
        <v>325</v>
      </c>
    </row>
    <row r="50" spans="1:7" x14ac:dyDescent="0.25">
      <c r="A50" s="1" t="s">
        <v>131</v>
      </c>
      <c r="B50" s="1">
        <v>2</v>
      </c>
      <c r="C50" s="1">
        <v>1032</v>
      </c>
      <c r="D50" s="1">
        <v>2</v>
      </c>
      <c r="E50" s="1">
        <v>992</v>
      </c>
      <c r="F50" s="1">
        <v>0</v>
      </c>
      <c r="G50" s="1">
        <v>0</v>
      </c>
    </row>
    <row r="51" spans="1:7" x14ac:dyDescent="0.25">
      <c r="A51" s="1" t="s">
        <v>132</v>
      </c>
      <c r="B51" s="1">
        <v>1</v>
      </c>
      <c r="C51" s="1">
        <v>459</v>
      </c>
      <c r="D51" s="1">
        <v>1</v>
      </c>
      <c r="E51" s="1">
        <v>316</v>
      </c>
      <c r="F51" s="1">
        <v>0</v>
      </c>
      <c r="G51" s="1">
        <v>0</v>
      </c>
    </row>
    <row r="52" spans="1:7" x14ac:dyDescent="0.25">
      <c r="A52" s="1" t="s">
        <v>133</v>
      </c>
      <c r="B52" s="1">
        <v>5</v>
      </c>
      <c r="C52" s="1">
        <v>2168</v>
      </c>
      <c r="D52" s="1">
        <v>0</v>
      </c>
      <c r="E52" s="1">
        <v>0</v>
      </c>
      <c r="F52" s="1">
        <v>0</v>
      </c>
      <c r="G52" s="1">
        <v>0</v>
      </c>
    </row>
    <row r="53" spans="1:7" x14ac:dyDescent="0.25">
      <c r="A53" s="1" t="s">
        <v>72</v>
      </c>
      <c r="B53" s="1">
        <v>35</v>
      </c>
      <c r="C53" s="1">
        <v>14018</v>
      </c>
      <c r="D53" s="1">
        <v>95</v>
      </c>
      <c r="E53" s="1">
        <v>33579</v>
      </c>
      <c r="F53" s="1">
        <v>38</v>
      </c>
      <c r="G53" s="1">
        <v>12488</v>
      </c>
    </row>
    <row r="54" spans="1:7" x14ac:dyDescent="0.25">
      <c r="A54" s="1" t="s">
        <v>31</v>
      </c>
      <c r="B54" s="1">
        <v>1</v>
      </c>
      <c r="C54" s="1">
        <v>440</v>
      </c>
      <c r="D54" s="1">
        <v>1</v>
      </c>
      <c r="E54" s="1">
        <v>419</v>
      </c>
      <c r="F54" s="1">
        <v>0</v>
      </c>
      <c r="G54" s="1">
        <v>0</v>
      </c>
    </row>
    <row r="55" spans="1:7" x14ac:dyDescent="0.25">
      <c r="A55" s="1" t="s">
        <v>134</v>
      </c>
      <c r="B55" s="1">
        <v>7</v>
      </c>
      <c r="C55" s="1">
        <v>3791</v>
      </c>
      <c r="D55" s="1">
        <v>1</v>
      </c>
      <c r="E55" s="1">
        <v>438</v>
      </c>
      <c r="F55" s="1">
        <v>0</v>
      </c>
      <c r="G55" s="1">
        <v>0</v>
      </c>
    </row>
    <row r="56" spans="1:7" x14ac:dyDescent="0.25">
      <c r="A56" s="1" t="s">
        <v>36</v>
      </c>
      <c r="B56" s="1">
        <v>0</v>
      </c>
      <c r="C56" s="1">
        <v>0</v>
      </c>
      <c r="D56" s="1">
        <v>8</v>
      </c>
      <c r="E56" s="1">
        <v>2455</v>
      </c>
      <c r="F56" s="1">
        <v>1</v>
      </c>
      <c r="G56" s="1">
        <v>287</v>
      </c>
    </row>
    <row r="57" spans="1:7" s="3" customFormat="1" x14ac:dyDescent="0.25">
      <c r="A57" s="3" t="s">
        <v>135</v>
      </c>
      <c r="B57" s="3">
        <f>SUM(B2:B56)</f>
        <v>919</v>
      </c>
      <c r="C57" s="3">
        <f>SUM(C2:C56)</f>
        <v>428650</v>
      </c>
      <c r="D57" s="3">
        <f t="shared" ref="D57:G57" si="0">SUM(D2:D56)</f>
        <v>1700</v>
      </c>
      <c r="E57" s="3">
        <f t="shared" si="0"/>
        <v>794448</v>
      </c>
      <c r="F57" s="3">
        <f t="shared" si="0"/>
        <v>727</v>
      </c>
      <c r="G57" s="3">
        <f t="shared" si="0"/>
        <v>344883</v>
      </c>
    </row>
  </sheetData>
  <autoFilter ref="A1:G57" xr:uid="{4A02C41C-68B4-4699-BA16-55FBB3A313C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ED8A1-41EE-4C12-A713-0184C9D85682}">
  <dimension ref="A1:G35"/>
  <sheetViews>
    <sheetView workbookViewId="0">
      <selection activeCell="A35" sqref="A35:XFD35"/>
    </sheetView>
  </sheetViews>
  <sheetFormatPr defaultRowHeight="15" x14ac:dyDescent="0.25"/>
  <cols>
    <col min="1" max="1" width="30" style="5" bestFit="1" customWidth="1"/>
  </cols>
  <sheetData>
    <row r="1" spans="1:7" x14ac:dyDescent="0.25">
      <c r="A1" s="8" t="s">
        <v>1</v>
      </c>
      <c r="B1" s="2" t="s">
        <v>93</v>
      </c>
      <c r="C1" s="2" t="s">
        <v>92</v>
      </c>
      <c r="D1" s="2" t="s">
        <v>95</v>
      </c>
      <c r="E1" s="2" t="s">
        <v>136</v>
      </c>
      <c r="F1" s="2" t="s">
        <v>137</v>
      </c>
      <c r="G1" s="2" t="s">
        <v>96</v>
      </c>
    </row>
    <row r="2" spans="1:7" x14ac:dyDescent="0.25">
      <c r="A2" s="6" t="s">
        <v>98</v>
      </c>
      <c r="B2" s="7"/>
      <c r="C2" s="7"/>
      <c r="D2" s="7">
        <v>3166.8</v>
      </c>
      <c r="E2" s="7">
        <v>5</v>
      </c>
      <c r="F2" s="7">
        <v>812</v>
      </c>
      <c r="G2" s="7">
        <v>1</v>
      </c>
    </row>
    <row r="3" spans="1:7" x14ac:dyDescent="0.25">
      <c r="A3" s="6" t="s">
        <v>90</v>
      </c>
      <c r="B3" s="7">
        <v>1484.28</v>
      </c>
      <c r="C3" s="7">
        <v>4</v>
      </c>
      <c r="D3" s="7">
        <v>1766.29</v>
      </c>
      <c r="E3" s="7">
        <v>4</v>
      </c>
      <c r="F3" s="7"/>
      <c r="G3" s="7"/>
    </row>
    <row r="4" spans="1:7" x14ac:dyDescent="0.25">
      <c r="A4" s="6" t="s">
        <v>25</v>
      </c>
      <c r="B4" s="7">
        <v>3294.74</v>
      </c>
      <c r="C4" s="7">
        <v>8</v>
      </c>
      <c r="D4" s="7">
        <v>5271</v>
      </c>
      <c r="E4" s="7">
        <v>13</v>
      </c>
      <c r="F4" s="7">
        <v>2768.5</v>
      </c>
      <c r="G4" s="7">
        <v>7</v>
      </c>
    </row>
    <row r="5" spans="1:7" x14ac:dyDescent="0.25">
      <c r="A5" s="6" t="s">
        <v>100</v>
      </c>
      <c r="B5" s="7"/>
      <c r="C5" s="7"/>
      <c r="D5" s="7">
        <v>2940.8399999999997</v>
      </c>
      <c r="E5" s="7">
        <v>14</v>
      </c>
      <c r="F5" s="7"/>
      <c r="G5" s="7"/>
    </row>
    <row r="6" spans="1:7" x14ac:dyDescent="0.25">
      <c r="A6" s="6" t="s">
        <v>101</v>
      </c>
      <c r="B6" s="7"/>
      <c r="C6" s="7"/>
      <c r="D6" s="7">
        <v>550</v>
      </c>
      <c r="E6" s="7">
        <v>1</v>
      </c>
      <c r="F6" s="7"/>
      <c r="G6" s="7"/>
    </row>
    <row r="7" spans="1:7" x14ac:dyDescent="0.25">
      <c r="A7" s="6" t="s">
        <v>102</v>
      </c>
      <c r="B7" s="7">
        <v>640</v>
      </c>
      <c r="C7" s="7">
        <v>2</v>
      </c>
      <c r="D7" s="7">
        <v>3436</v>
      </c>
      <c r="E7" s="7">
        <v>13</v>
      </c>
      <c r="F7" s="7">
        <v>494</v>
      </c>
      <c r="G7" s="7">
        <v>2</v>
      </c>
    </row>
    <row r="8" spans="1:7" x14ac:dyDescent="0.25">
      <c r="A8" s="6" t="s">
        <v>69</v>
      </c>
      <c r="B8" s="7">
        <v>579</v>
      </c>
      <c r="C8" s="7">
        <v>1</v>
      </c>
      <c r="D8" s="7">
        <v>445</v>
      </c>
      <c r="E8" s="7">
        <v>1</v>
      </c>
      <c r="F8" s="7">
        <v>445</v>
      </c>
      <c r="G8" s="7">
        <v>1</v>
      </c>
    </row>
    <row r="9" spans="1:7" x14ac:dyDescent="0.25">
      <c r="A9" s="6" t="s">
        <v>105</v>
      </c>
      <c r="B9" s="7">
        <v>1086.1199999999999</v>
      </c>
      <c r="C9" s="7">
        <v>2</v>
      </c>
      <c r="D9" s="7"/>
      <c r="E9" s="7"/>
      <c r="F9" s="7"/>
      <c r="G9" s="7"/>
    </row>
    <row r="10" spans="1:7" x14ac:dyDescent="0.25">
      <c r="A10" s="6" t="s">
        <v>51</v>
      </c>
      <c r="B10" s="7">
        <v>394</v>
      </c>
      <c r="C10" s="7">
        <v>1</v>
      </c>
      <c r="D10" s="7">
        <v>914.36</v>
      </c>
      <c r="E10" s="7">
        <v>3</v>
      </c>
      <c r="F10" s="7"/>
      <c r="G10" s="7"/>
    </row>
    <row r="11" spans="1:7" x14ac:dyDescent="0.25">
      <c r="A11" s="6" t="s">
        <v>39</v>
      </c>
      <c r="B11" s="7"/>
      <c r="C11" s="7"/>
      <c r="D11" s="7"/>
      <c r="E11" s="7"/>
      <c r="F11" s="7">
        <v>657.4</v>
      </c>
      <c r="G11" s="7">
        <v>1</v>
      </c>
    </row>
    <row r="12" spans="1:7" x14ac:dyDescent="0.25">
      <c r="A12" s="6" t="s">
        <v>10</v>
      </c>
      <c r="B12" s="7">
        <v>1380.15</v>
      </c>
      <c r="C12" s="7">
        <v>3</v>
      </c>
      <c r="D12" s="7">
        <v>938</v>
      </c>
      <c r="E12" s="7">
        <v>2</v>
      </c>
      <c r="F12" s="7">
        <v>1736.21</v>
      </c>
      <c r="G12" s="7">
        <v>4</v>
      </c>
    </row>
    <row r="13" spans="1:7" x14ac:dyDescent="0.25">
      <c r="A13" s="6" t="s">
        <v>106</v>
      </c>
      <c r="B13" s="7"/>
      <c r="C13" s="7"/>
      <c r="D13" s="7">
        <v>750.5</v>
      </c>
      <c r="E13" s="7">
        <v>1</v>
      </c>
      <c r="F13" s="7"/>
      <c r="G13" s="7"/>
    </row>
    <row r="14" spans="1:7" x14ac:dyDescent="0.25">
      <c r="A14" s="6" t="s">
        <v>7</v>
      </c>
      <c r="B14" s="7">
        <v>8275.59</v>
      </c>
      <c r="C14" s="7">
        <v>19</v>
      </c>
      <c r="D14" s="7">
        <v>8810.93</v>
      </c>
      <c r="E14" s="7">
        <v>21</v>
      </c>
      <c r="F14" s="7">
        <v>2945.83</v>
      </c>
      <c r="G14" s="7">
        <v>7</v>
      </c>
    </row>
    <row r="15" spans="1:7" x14ac:dyDescent="0.25">
      <c r="A15" s="6" t="s">
        <v>108</v>
      </c>
      <c r="B15" s="7">
        <v>4071.1800000000003</v>
      </c>
      <c r="C15" s="7">
        <v>3</v>
      </c>
      <c r="D15" s="7">
        <v>1412.1</v>
      </c>
      <c r="E15" s="7">
        <v>1</v>
      </c>
      <c r="F15" s="7"/>
      <c r="G15" s="7"/>
    </row>
    <row r="16" spans="1:7" x14ac:dyDescent="0.25">
      <c r="A16" s="6" t="s">
        <v>110</v>
      </c>
      <c r="B16" s="7">
        <v>531.9</v>
      </c>
      <c r="C16" s="7">
        <v>1</v>
      </c>
      <c r="D16" s="7">
        <v>278.18</v>
      </c>
      <c r="E16" s="7">
        <v>1</v>
      </c>
      <c r="F16" s="7">
        <v>557.88</v>
      </c>
      <c r="G16" s="7">
        <v>2</v>
      </c>
    </row>
    <row r="17" spans="1:7" x14ac:dyDescent="0.25">
      <c r="A17" s="6" t="s">
        <v>112</v>
      </c>
      <c r="B17" s="7">
        <v>414.64</v>
      </c>
      <c r="C17" s="7">
        <v>1</v>
      </c>
      <c r="D17" s="7"/>
      <c r="E17" s="7"/>
      <c r="F17" s="7">
        <v>1160.8499999999999</v>
      </c>
      <c r="G17" s="7">
        <v>2</v>
      </c>
    </row>
    <row r="18" spans="1:7" x14ac:dyDescent="0.25">
      <c r="A18" s="6" t="s">
        <v>138</v>
      </c>
      <c r="B18" s="7">
        <v>540.9</v>
      </c>
      <c r="C18" s="7">
        <v>1</v>
      </c>
      <c r="D18" s="7">
        <v>542.4</v>
      </c>
      <c r="E18" s="7">
        <v>1</v>
      </c>
      <c r="F18" s="7"/>
      <c r="G18" s="7"/>
    </row>
    <row r="19" spans="1:7" x14ac:dyDescent="0.25">
      <c r="A19" s="6" t="s">
        <v>139</v>
      </c>
      <c r="B19" s="7">
        <v>1423.08</v>
      </c>
      <c r="C19" s="7">
        <v>3</v>
      </c>
      <c r="D19" s="7">
        <v>817</v>
      </c>
      <c r="E19" s="7">
        <v>2</v>
      </c>
      <c r="F19" s="7">
        <v>937.8</v>
      </c>
      <c r="G19" s="7">
        <v>3</v>
      </c>
    </row>
    <row r="20" spans="1:7" x14ac:dyDescent="0.25">
      <c r="A20" s="6" t="s">
        <v>113</v>
      </c>
      <c r="B20" s="7"/>
      <c r="C20" s="7"/>
      <c r="D20" s="7">
        <v>431</v>
      </c>
      <c r="E20" s="7">
        <v>1</v>
      </c>
      <c r="F20" s="7">
        <v>862</v>
      </c>
      <c r="G20" s="7">
        <v>2</v>
      </c>
    </row>
    <row r="21" spans="1:7" x14ac:dyDescent="0.25">
      <c r="A21" s="6" t="s">
        <v>114</v>
      </c>
      <c r="B21" s="7">
        <v>772.34</v>
      </c>
      <c r="C21" s="7">
        <v>3</v>
      </c>
      <c r="D21" s="7">
        <v>2315.4</v>
      </c>
      <c r="E21" s="7">
        <v>6</v>
      </c>
      <c r="F21" s="7">
        <v>314.52</v>
      </c>
      <c r="G21" s="7">
        <v>1</v>
      </c>
    </row>
    <row r="22" spans="1:7" x14ac:dyDescent="0.25">
      <c r="A22" s="6" t="s">
        <v>54</v>
      </c>
      <c r="B22" s="7">
        <v>494.19</v>
      </c>
      <c r="C22" s="7">
        <v>1</v>
      </c>
      <c r="D22" s="7">
        <v>1019.85</v>
      </c>
      <c r="E22" s="7">
        <v>2</v>
      </c>
      <c r="F22" s="7"/>
      <c r="G22" s="7"/>
    </row>
    <row r="23" spans="1:7" x14ac:dyDescent="0.25">
      <c r="A23" s="6" t="s">
        <v>116</v>
      </c>
      <c r="B23" s="7">
        <v>454.63</v>
      </c>
      <c r="C23" s="7">
        <v>1</v>
      </c>
      <c r="D23" s="7">
        <v>414.65</v>
      </c>
      <c r="E23" s="7">
        <v>1</v>
      </c>
      <c r="F23" s="7"/>
      <c r="G23" s="7"/>
    </row>
    <row r="24" spans="1:7" x14ac:dyDescent="0.25">
      <c r="A24" s="6" t="s">
        <v>13</v>
      </c>
      <c r="B24" s="7"/>
      <c r="C24" s="7"/>
      <c r="D24" s="7">
        <v>1017</v>
      </c>
      <c r="E24" s="7">
        <v>1</v>
      </c>
      <c r="F24" s="7"/>
      <c r="G24" s="7"/>
    </row>
    <row r="25" spans="1:7" x14ac:dyDescent="0.25">
      <c r="A25" s="6" t="s">
        <v>119</v>
      </c>
      <c r="B25" s="7"/>
      <c r="C25" s="7"/>
      <c r="D25" s="7">
        <v>1012</v>
      </c>
      <c r="E25" s="7">
        <v>1</v>
      </c>
      <c r="F25" s="7"/>
      <c r="G25" s="7"/>
    </row>
    <row r="26" spans="1:7" x14ac:dyDescent="0.25">
      <c r="A26" s="6" t="s">
        <v>120</v>
      </c>
      <c r="B26" s="7"/>
      <c r="C26" s="7"/>
      <c r="D26" s="7">
        <v>3762</v>
      </c>
      <c r="E26" s="7">
        <v>5</v>
      </c>
      <c r="F26" s="7">
        <v>4660.29</v>
      </c>
      <c r="G26" s="7">
        <v>5</v>
      </c>
    </row>
    <row r="27" spans="1:7" x14ac:dyDescent="0.25">
      <c r="A27" s="6" t="s">
        <v>123</v>
      </c>
      <c r="B27" s="7"/>
      <c r="C27" s="7"/>
      <c r="D27" s="7">
        <v>1831.6</v>
      </c>
      <c r="E27" s="7">
        <v>2</v>
      </c>
      <c r="F27" s="7">
        <v>2843.8</v>
      </c>
      <c r="G27" s="7">
        <v>3</v>
      </c>
    </row>
    <row r="28" spans="1:7" x14ac:dyDescent="0.25">
      <c r="A28" s="6" t="s">
        <v>126</v>
      </c>
      <c r="B28" s="7">
        <v>445.04</v>
      </c>
      <c r="C28" s="7">
        <v>1</v>
      </c>
      <c r="D28" s="7">
        <v>2084.34</v>
      </c>
      <c r="E28" s="7">
        <v>5</v>
      </c>
      <c r="F28" s="7">
        <v>782.67000000000007</v>
      </c>
      <c r="G28" s="7">
        <v>2</v>
      </c>
    </row>
    <row r="29" spans="1:7" x14ac:dyDescent="0.25">
      <c r="A29" s="6" t="s">
        <v>127</v>
      </c>
      <c r="B29" s="7">
        <v>1695.6</v>
      </c>
      <c r="C29" s="7">
        <v>4</v>
      </c>
      <c r="D29" s="7">
        <v>2314.9</v>
      </c>
      <c r="E29" s="7">
        <v>6</v>
      </c>
      <c r="F29" s="7">
        <v>1489.8000000000002</v>
      </c>
      <c r="G29" s="7">
        <v>4</v>
      </c>
    </row>
    <row r="30" spans="1:7" x14ac:dyDescent="0.25">
      <c r="A30" s="6" t="s">
        <v>4</v>
      </c>
      <c r="B30" s="7">
        <v>2397.25</v>
      </c>
      <c r="C30" s="7">
        <v>5</v>
      </c>
      <c r="D30" s="7">
        <v>1302</v>
      </c>
      <c r="E30" s="7">
        <v>3</v>
      </c>
      <c r="F30" s="7">
        <v>372.09</v>
      </c>
      <c r="G30" s="7">
        <v>1</v>
      </c>
    </row>
    <row r="31" spans="1:7" x14ac:dyDescent="0.25">
      <c r="A31" s="6" t="s">
        <v>84</v>
      </c>
      <c r="B31" s="7">
        <v>575.1</v>
      </c>
      <c r="C31" s="7">
        <v>1</v>
      </c>
      <c r="D31" s="7">
        <v>995.2</v>
      </c>
      <c r="E31" s="7">
        <v>2</v>
      </c>
      <c r="F31" s="7">
        <v>518</v>
      </c>
      <c r="G31" s="7">
        <v>2</v>
      </c>
    </row>
    <row r="32" spans="1:7" x14ac:dyDescent="0.25">
      <c r="A32" s="6" t="s">
        <v>131</v>
      </c>
      <c r="B32" s="7">
        <v>3065.61</v>
      </c>
      <c r="C32" s="7">
        <v>6</v>
      </c>
      <c r="D32" s="7">
        <v>6060.630000000001</v>
      </c>
      <c r="E32" s="7">
        <v>13</v>
      </c>
      <c r="F32" s="7">
        <v>920.9</v>
      </c>
      <c r="G32" s="7">
        <v>2</v>
      </c>
    </row>
    <row r="33" spans="1:7" x14ac:dyDescent="0.25">
      <c r="A33" s="6" t="s">
        <v>31</v>
      </c>
      <c r="B33" s="7">
        <v>534.85</v>
      </c>
      <c r="C33" s="7">
        <v>1</v>
      </c>
      <c r="D33" s="7">
        <v>457</v>
      </c>
      <c r="E33" s="7">
        <v>1</v>
      </c>
      <c r="F33" s="7"/>
      <c r="G33" s="7"/>
    </row>
    <row r="34" spans="1:7" x14ac:dyDescent="0.25">
      <c r="A34" s="6" t="s">
        <v>36</v>
      </c>
      <c r="B34" s="7"/>
      <c r="C34" s="7"/>
      <c r="D34" s="7">
        <v>417.05</v>
      </c>
      <c r="E34" s="7">
        <v>1</v>
      </c>
      <c r="F34" s="7">
        <v>376.38</v>
      </c>
      <c r="G34" s="7">
        <v>1</v>
      </c>
    </row>
    <row r="35" spans="1:7" s="3" customFormat="1" x14ac:dyDescent="0.25">
      <c r="A35" s="9" t="s">
        <v>140</v>
      </c>
      <c r="B35" s="3">
        <f>SUM(B2:B34)</f>
        <v>34550.189999999995</v>
      </c>
      <c r="C35" s="3">
        <f t="shared" ref="C35:G35" si="0">SUM(C2:C34)</f>
        <v>72</v>
      </c>
      <c r="D35" s="3">
        <f t="shared" si="0"/>
        <v>57474.020000000004</v>
      </c>
      <c r="E35" s="3">
        <f t="shared" si="0"/>
        <v>133</v>
      </c>
      <c r="F35" s="3">
        <f t="shared" si="0"/>
        <v>25655.920000000002</v>
      </c>
      <c r="G35" s="3">
        <f t="shared" si="0"/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ЗЯ</vt:lpstr>
      <vt:lpstr>Лету</vt:lpstr>
      <vt:lpstr>МагнитМаркет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MikeOG</dc:creator>
  <cp:lastModifiedBy>Sergey Artyuhin</cp:lastModifiedBy>
  <dcterms:created xsi:type="dcterms:W3CDTF">2026-06-15T07:58:37Z</dcterms:created>
  <dcterms:modified xsi:type="dcterms:W3CDTF">2026-06-15T08:24:43Z</dcterms:modified>
</cp:coreProperties>
</file>